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7EE8E13-C316-408B-9E7D-99F28BAC11A9}" xr6:coauthVersionLast="47" xr6:coauthVersionMax="47" xr10:uidLastSave="{00000000-0000-0000-0000-000000000000}"/>
  <bookViews>
    <workbookView xWindow="-108" yWindow="-108" windowWidth="23256" windowHeight="12456" firstSheet="2" activeTab="5" xr2:uid="{00000000-000D-0000-FFFF-FFFF00000000}"/>
  </bookViews>
  <sheets>
    <sheet name="Login Module" sheetId="1" r:id="rId1"/>
    <sheet name="Movie Browsing Module" sheetId="2" r:id="rId2"/>
    <sheet name="Seat Selection Module" sheetId="3" r:id="rId3"/>
    <sheet name="Booking Module" sheetId="4" r:id="rId4"/>
    <sheet name="Admin Module" sheetId="5" r:id="rId5"/>
    <sheet name="User Profile Modul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6" l="1"/>
  <c r="H6" i="6"/>
  <c r="J5" i="6"/>
  <c r="H5" i="6"/>
  <c r="J4" i="6"/>
  <c r="H4" i="6"/>
  <c r="J3" i="6"/>
  <c r="H3" i="6"/>
  <c r="J6" i="5"/>
  <c r="H6" i="5"/>
  <c r="J5" i="5"/>
  <c r="H5" i="5"/>
  <c r="J4" i="5"/>
  <c r="H4" i="5"/>
  <c r="J3" i="5"/>
  <c r="H3" i="5"/>
  <c r="J6" i="4"/>
  <c r="H6" i="4"/>
  <c r="J5" i="4"/>
  <c r="H5" i="4"/>
  <c r="J4" i="4"/>
  <c r="H4" i="4"/>
  <c r="J3" i="4"/>
  <c r="H3" i="4"/>
  <c r="J6" i="3"/>
  <c r="H6" i="3"/>
  <c r="J5" i="3"/>
  <c r="H5" i="3"/>
  <c r="J4" i="3"/>
  <c r="H4" i="3"/>
  <c r="J3" i="3"/>
  <c r="H3" i="3"/>
  <c r="J6" i="2"/>
  <c r="H6" i="2"/>
  <c r="J5" i="2"/>
  <c r="H5" i="2"/>
  <c r="J4" i="2"/>
  <c r="H4" i="2"/>
  <c r="J3" i="2"/>
  <c r="H3" i="2"/>
  <c r="J6" i="1"/>
  <c r="H6" i="1"/>
  <c r="J5" i="1"/>
  <c r="H5" i="1"/>
  <c r="J4" i="1"/>
  <c r="H4" i="1"/>
  <c r="J3" i="1"/>
  <c r="H3" i="1"/>
</calcChain>
</file>

<file path=xl/sharedStrings.xml><?xml version="1.0" encoding="utf-8"?>
<sst xmlns="http://schemas.openxmlformats.org/spreadsheetml/2006/main" count="960" uniqueCount="429">
  <si>
    <t>Test Case</t>
  </si>
  <si>
    <t>Test 01</t>
  </si>
  <si>
    <t>Severity type</t>
  </si>
  <si>
    <t>Count</t>
  </si>
  <si>
    <t>Status</t>
  </si>
  <si>
    <t>Project Name</t>
  </si>
  <si>
    <t>Movie Ticket Booking System</t>
  </si>
  <si>
    <t>High</t>
  </si>
  <si>
    <t>Pass</t>
  </si>
  <si>
    <t>Module Name</t>
  </si>
  <si>
    <t>Login Module</t>
  </si>
  <si>
    <t>Medium</t>
  </si>
  <si>
    <t>Fail</t>
  </si>
  <si>
    <t>Reference Document</t>
  </si>
  <si>
    <t>Low</t>
  </si>
  <si>
    <t>N/A</t>
  </si>
  <si>
    <t>Created By</t>
  </si>
  <si>
    <t>Critical</t>
  </si>
  <si>
    <t>Date of Creation</t>
  </si>
  <si>
    <t>Date of Review</t>
  </si>
  <si>
    <t>QA Environment</t>
  </si>
  <si>
    <t>Web Browser (Chrome/Firefox)</t>
  </si>
  <si>
    <t>Test Case ID</t>
  </si>
  <si>
    <t>Test Case Scenario</t>
  </si>
  <si>
    <t>Pre-Conditions</t>
  </si>
  <si>
    <t>Test Steps</t>
  </si>
  <si>
    <t>Test Data</t>
  </si>
  <si>
    <t>Expected Results</t>
  </si>
  <si>
    <t>Post-Condition</t>
  </si>
  <si>
    <t>Actual Results</t>
  </si>
  <si>
    <t>Severity</t>
  </si>
  <si>
    <t>Functional Test Cases</t>
  </si>
  <si>
    <t>Test_Case_01</t>
  </si>
  <si>
    <t>Login Page Display</t>
  </si>
  <si>
    <t>Verify login page loads with all required elements</t>
  </si>
  <si>
    <t>Browser open, backend running on localhost:8080</t>
  </si>
  <si>
    <t>1. Open browser
2. Navigate to frontend URL
3. Observe page</t>
  </si>
  <si>
    <t>Email field, password field, and Login button are visible</t>
  </si>
  <si>
    <t>User is on login page</t>
  </si>
  <si>
    <t>Test_Case_02</t>
  </si>
  <si>
    <t>Login with Valid Credentials</t>
  </si>
  <si>
    <t>Verify user can login with correct email and password</t>
  </si>
  <si>
    <t>A valid user account exists in the database</t>
  </si>
  <si>
    <t>1. Enter valid email
2. Enter valid password
3. Click Login</t>
  </si>
  <si>
    <t>Email: user@cinema.com
Password: Test@1234</t>
  </si>
  <si>
    <t>User is redirected to the home/dashboard page</t>
  </si>
  <si>
    <t>User is logged in</t>
  </si>
  <si>
    <t>Test_Case_03</t>
  </si>
  <si>
    <t>Login with Invalid Password</t>
  </si>
  <si>
    <t>Verify error message appears for wrong password</t>
  </si>
  <si>
    <t>1. Enter registered email
2. Enter wrong password
3. Click Login</t>
  </si>
  <si>
    <t>Email: user@cinema.com
Password: wrongpass</t>
  </si>
  <si>
    <t>Error message: 'Invalid credentials' is displayed</t>
  </si>
  <si>
    <t>User remains on login page</t>
  </si>
  <si>
    <t>Test_Case_04</t>
  </si>
  <si>
    <t>Login with Unregistered Email</t>
  </si>
  <si>
    <t>Verify error for email not registered in the system</t>
  </si>
  <si>
    <t>1. Enter unregistered email
2. Enter any password
3. Click Login</t>
  </si>
  <si>
    <t>Email: notexist@cinema.com
Password: Test@1234</t>
  </si>
  <si>
    <t>Error message: 'User not found' is displayed</t>
  </si>
  <si>
    <t>Test_Case_05</t>
  </si>
  <si>
    <t>Login with Empty Fields</t>
  </si>
  <si>
    <t>Verify validation when both fields are empty</t>
  </si>
  <si>
    <t>1. Leave email field empty
2. Leave password field empty
3. Click Login</t>
  </si>
  <si>
    <t>Email: &lt;empty&gt;
Password: &lt;empty&gt;</t>
  </si>
  <si>
    <t>Validation error messages displayed for required fields</t>
  </si>
  <si>
    <t>Test_Case_06</t>
  </si>
  <si>
    <t>Login with Invalid Email Format</t>
  </si>
  <si>
    <t>Verify email format validation on login</t>
  </si>
  <si>
    <t>1. Enter an invalid email format
2. Enter any password
3. Click Login</t>
  </si>
  <si>
    <t>Email: notanemail
Password: Test@1234</t>
  </si>
  <si>
    <t>Error message: 'Please enter a valid email address'</t>
  </si>
  <si>
    <t>Test_Case_07</t>
  </si>
  <si>
    <t>Logout Functionality</t>
  </si>
  <si>
    <t>Verify user can successfully log out</t>
  </si>
  <si>
    <t>1. Click on profile/menu icon
2. Click Logout
3. Verify redirect</t>
  </si>
  <si>
    <t>User is logged out and redirected to login page</t>
  </si>
  <si>
    <t>Non - Functional Test Cases</t>
  </si>
  <si>
    <t>Test_Case_08</t>
  </si>
  <si>
    <t>Login Page Load Time</t>
  </si>
  <si>
    <t>Verify login page loads within acceptable time</t>
  </si>
  <si>
    <t>Browser open, system running</t>
  </si>
  <si>
    <t>1. Navigate to login page
2. Measure load time using browser dev tools</t>
  </si>
  <si>
    <t>Login page loads within 3 seconds</t>
  </si>
  <si>
    <t>Page is fully rendered</t>
  </si>
  <si>
    <t>Test_Case_09</t>
  </si>
  <si>
    <t>Login Response Time</t>
  </si>
  <si>
    <t>Verify login process completes quickly</t>
  </si>
  <si>
    <t>User on login page with valid credentials ready</t>
  </si>
  <si>
    <t>1. Enter credentials
2. Click Login
3. Measure time to dashboard</t>
  </si>
  <si>
    <t>Valid credentials</t>
  </si>
  <si>
    <t>Login completes and redirects within 5 seconds</t>
  </si>
  <si>
    <t>User is on dashboard</t>
  </si>
  <si>
    <t>Test_Case_10</t>
  </si>
  <si>
    <t>Password Field Masking</t>
  </si>
  <si>
    <t>Verify password characters are masked during entry</t>
  </si>
  <si>
    <t>1. Click password field
2. Type password
3. Observe display</t>
  </si>
  <si>
    <t>Password: Test@1234</t>
  </si>
  <si>
    <t>Password characters are shown as dots/asterisks</t>
  </si>
  <si>
    <t>Password is secure</t>
  </si>
  <si>
    <t>Test_Case_11</t>
  </si>
  <si>
    <t>Session Timeout After Inactivity</t>
  </si>
  <si>
    <t>Verify session expires after inactivity</t>
  </si>
  <si>
    <t>1. Log in
2. Leave app idle for extended period
3. Attempt an action</t>
  </si>
  <si>
    <t>Session expires and user is prompted to log in again</t>
  </si>
  <si>
    <t>User is redirected to login</t>
  </si>
  <si>
    <t>Test_Case_12</t>
  </si>
  <si>
    <t>Login Button Disabled When Fields Empty</t>
  </si>
  <si>
    <t>Verify login button is not clickable with empty fields</t>
  </si>
  <si>
    <t>1. Leave both fields empty
2. Observe Login button state</t>
  </si>
  <si>
    <t>Login button is disabled/greyed out and cannot be clicked</t>
  </si>
  <si>
    <t>Test_Case_13</t>
  </si>
  <si>
    <t>Browser Compatibility - Login</t>
  </si>
  <si>
    <t>Verify login page works across different browsers</t>
  </si>
  <si>
    <t>System is running</t>
  </si>
  <si>
    <t>1. Open login page in Chrome
2. Repeat in Firefox
3. Compare behavior</t>
  </si>
  <si>
    <t>Login page displays and functions correctly in all major browsers</t>
  </si>
  <si>
    <t>Login works consistently</t>
  </si>
  <si>
    <t>Movie Browsing Module</t>
  </si>
  <si>
    <t>Movie List Display</t>
  </si>
  <si>
    <t>Verify all movies are shown on the home/movies page</t>
  </si>
  <si>
    <t>1. Navigate to movies/home page
2. Observe movie list</t>
  </si>
  <si>
    <t>All available movies are displayed with poster, title, and basic info</t>
  </si>
  <si>
    <t>Movie list is visible</t>
  </si>
  <si>
    <t>Movie Details View</t>
  </si>
  <si>
    <t>Verify movie detail page shows correct information</t>
  </si>
  <si>
    <t>User is on movies list page</t>
  </si>
  <si>
    <t>1. Click on any movie
2. Observe the detail page</t>
  </si>
  <si>
    <t>Movie title, description, duration, genre, and showtimes are shown</t>
  </si>
  <si>
    <t>User is on movie details page</t>
  </si>
  <si>
    <t>Movie Search - Valid Title</t>
  </si>
  <si>
    <t>Verify user can search for a movie by title</t>
  </si>
  <si>
    <t>User is on movies page</t>
  </si>
  <si>
    <t>1. Type a known movie title in the search bar
2. Observe results</t>
  </si>
  <si>
    <t>Search: any existing movie name</t>
  </si>
  <si>
    <t>Matching movies are displayed in the results</t>
  </si>
  <si>
    <t>Search results are shown</t>
  </si>
  <si>
    <t>Movie Search - No Results</t>
  </si>
  <si>
    <t>Verify message shown when search yields no results</t>
  </si>
  <si>
    <t>1. Type a title that does not exist
2. Observe results</t>
  </si>
  <si>
    <t>Search: xyznonexistent123</t>
  </si>
  <si>
    <t>Message displayed: 'No movies found'</t>
  </si>
  <si>
    <t>Empty results message is shown</t>
  </si>
  <si>
    <t>Showtime Display</t>
  </si>
  <si>
    <t>Verify showtimes are listed for a selected movie</t>
  </si>
  <si>
    <t>User is on a movie detail page</t>
  </si>
  <si>
    <t>1. Select a movie
2. Observe the showtimes section</t>
  </si>
  <si>
    <t>Available dates and times are displayed for the selected movie</t>
  </si>
  <si>
    <t>Showtimes section is visible</t>
  </si>
  <si>
    <t>Movie Poster Display</t>
  </si>
  <si>
    <t>Verify movie poster/thumbnail loads correctly</t>
  </si>
  <si>
    <t>1. Observe movie posters on the list
2. Check all images load</t>
  </si>
  <si>
    <t>All movie posters load without broken image icons</t>
  </si>
  <si>
    <t>Images are visible</t>
  </si>
  <si>
    <t>Movie List Page Load Time</t>
  </si>
  <si>
    <t>Verify movies page loads within acceptable time</t>
  </si>
  <si>
    <t>1. Navigate to movies page
2. Measure time until all movies are visible</t>
  </si>
  <si>
    <t>Movies page loads and displays all content within 4 seconds</t>
  </si>
  <si>
    <t>Page is fully loaded</t>
  </si>
  <si>
    <t>Search Response Time</t>
  </si>
  <si>
    <t>Verify search results appear quickly</t>
  </si>
  <si>
    <t>1. Type a movie name in search
2. Measure time to results</t>
  </si>
  <si>
    <t>Search: any movie name</t>
  </si>
  <si>
    <t>Results appear within 2 seconds of typing</t>
  </si>
  <si>
    <t>Results are displayed</t>
  </si>
  <si>
    <t>UI Layout Consistency</t>
  </si>
  <si>
    <t>Verify movie cards display consistently</t>
  </si>
  <si>
    <t>1. Observe all movie cards on the list
2. Check alignment and sizing</t>
  </si>
  <si>
    <t>All movie cards are uniform in size, alignment, and font style</t>
  </si>
  <si>
    <t>Consistent layout is maintained</t>
  </si>
  <si>
    <t>Responsive Design - Movies Page</t>
  </si>
  <si>
    <t>Verify movies page adapts to different window sizes</t>
  </si>
  <si>
    <t>1. Open movies page
2. Resize browser window to small and large sizes
3. Observe layout</t>
  </si>
  <si>
    <t>Layout adjusts correctly without elements overlapping or being cut off</t>
  </si>
  <si>
    <t>Page is usable at all sizes</t>
  </si>
  <si>
    <t>Image Loading Performance</t>
  </si>
  <si>
    <t>Verify movie posters load without significant delay</t>
  </si>
  <si>
    <t>1. Observe movie posters loading on page open</t>
  </si>
  <si>
    <t>Movie posters load within 3 seconds without broken images</t>
  </si>
  <si>
    <t>All images are visible</t>
  </si>
  <si>
    <t>Seat Selection Module</t>
  </si>
  <si>
    <t>Seat Map Page Load</t>
  </si>
  <si>
    <t>Verify seat map loads after selecting a showtime</t>
  </si>
  <si>
    <t>User has selected a movie and a showtime</t>
  </si>
  <si>
    <t>1. Select a movie
2. Select a showtime
3. Observe seat map</t>
  </si>
  <si>
    <t>Seat map is displayed with available, reserved, and selected seat indicators</t>
  </si>
  <si>
    <t>Seat map is visible</t>
  </si>
  <si>
    <t>Select an Available Seat</t>
  </si>
  <si>
    <t>Verify user can click and select an available seat</t>
  </si>
  <si>
    <t>User is on seat selection page</t>
  </si>
  <si>
    <t>1. Identify an available seat
2. Click on it</t>
  </si>
  <si>
    <t>Seat is highlighted as selected and added to the booking summary</t>
  </si>
  <si>
    <t>Selected seat is highlighted</t>
  </si>
  <si>
    <t>Deselect a Selected Seat</t>
  </si>
  <si>
    <t>Verify user can click to deselect a seat</t>
  </si>
  <si>
    <t>User has at least one seat selected</t>
  </si>
  <si>
    <t>1. Click on an already selected seat</t>
  </si>
  <si>
    <t>Seat is deselected and removed from the booking summary</t>
  </si>
  <si>
    <t>Seat returns to available state</t>
  </si>
  <si>
    <t>Cannot Select Reserved Seat</t>
  </si>
  <si>
    <t>Verify reserved seats are not selectable</t>
  </si>
  <si>
    <t>Seat map has at least one reserved seat</t>
  </si>
  <si>
    <t>1. Click on a reserved seat
2. Observe behavior</t>
  </si>
  <si>
    <t>Reserved seat cannot be selected; no state change occurs</t>
  </si>
  <si>
    <t>Reserved seat remains unchanged</t>
  </si>
  <si>
    <t>Booking Summary Updates on Seat Selection</t>
  </si>
  <si>
    <t>Verify summary updates when seats are selected</t>
  </si>
  <si>
    <t>1. Select 2 seats
2. Observe the booking summary panel</t>
  </si>
  <si>
    <t>Summary shows selected seat numbers and updated total price</t>
  </si>
  <si>
    <t>Summary reflects selected seats</t>
  </si>
  <si>
    <t>Proceed to Booking Button</t>
  </si>
  <si>
    <t>Verify user can proceed after selecting seats</t>
  </si>
  <si>
    <t>1. Select a seat
2. Click the Proceed/Book Now button</t>
  </si>
  <si>
    <t>User is navigated to the booking confirmation page</t>
  </si>
  <si>
    <t>Booking confirmation page is shown</t>
  </si>
  <si>
    <t>Select Maximum Allowed Seats</t>
  </si>
  <si>
    <t>Verify system limits how many seats can be selected</t>
  </si>
  <si>
    <t>1. Try to select more than the allowed maximum number of seats</t>
  </si>
  <si>
    <t>System prevents selection beyond the allowed limit and shows a message</t>
  </si>
  <si>
    <t>Selection is capped at maximum</t>
  </si>
  <si>
    <t>Seat Map Load Time</t>
  </si>
  <si>
    <t>Verify seat map renders within acceptable time</t>
  </si>
  <si>
    <t>User has selected a showtime</t>
  </si>
  <si>
    <t>1. Select a showtime
2. Measure time for seat map to appear</t>
  </si>
  <si>
    <t>Seat map fully renders within 4 seconds</t>
  </si>
  <si>
    <t>Seat map is displayed</t>
  </si>
  <si>
    <t>Seat Colour Coding Clarity</t>
  </si>
  <si>
    <t>Verify seat status colours are clearly distinguishable</t>
  </si>
  <si>
    <t>1. Observe the seat map
2. Check that available, reserved, and selected seats have distinct colours</t>
  </si>
  <si>
    <t>Available, reserved, and selected seats are visually distinct and clearly labelled</t>
  </si>
  <si>
    <t>Colour legend is visible</t>
  </si>
  <si>
    <t>Seat Map Usability</t>
  </si>
  <si>
    <t>Verify seat map is easy to navigate and understand</t>
  </si>
  <si>
    <t>1. Observe if a legend is provided
2. Check if layout matches a real cinema hall structure</t>
  </si>
  <si>
    <t>A clear legend is shown; seat layout is logical and easy to read</t>
  </si>
  <si>
    <t>Seat map is user-friendly</t>
  </si>
  <si>
    <t>Summary Panel Accuracy</t>
  </si>
  <si>
    <t>Verify booking summary always reflects the correct seat count and price</t>
  </si>
  <si>
    <t>User is selecting multiple seats</t>
  </si>
  <si>
    <t>1. Select 3 seats one by one
2. Verify summary updates after each selection</t>
  </si>
  <si>
    <t>Summary correctly updates seat count and total price after every selection</t>
  </si>
  <si>
    <t>Summary is always accurate</t>
  </si>
  <si>
    <t>Browser Resize - Seat Map</t>
  </si>
  <si>
    <t>Verify seat map remains usable on smaller browser windows</t>
  </si>
  <si>
    <t>1. Resize browser to a smaller width
2. Observe seat map layout</t>
  </si>
  <si>
    <t>Seat map adjusts or provides scroll; no seats are hidden or inaccessible</t>
  </si>
  <si>
    <t>All seats remain selectable</t>
  </si>
  <si>
    <t>Booking Module</t>
  </si>
  <si>
    <t>Booking Confirmation Page Details</t>
  </si>
  <si>
    <t>Verify confirmation page shows correct booking details</t>
  </si>
  <si>
    <t>User has selected seats and clicked Proceed</t>
  </si>
  <si>
    <t>1. Observe the booking confirmation page</t>
  </si>
  <si>
    <t>Movie name, showtime, seat numbers, and total price are displayed correctly</t>
  </si>
  <si>
    <t>Booking details are accurate</t>
  </si>
  <si>
    <t>Confirm Booking</t>
  </si>
  <si>
    <t>Verify user can confirm a booking</t>
  </si>
  <si>
    <t>User is on booking confirmation page</t>
  </si>
  <si>
    <t>1. Review booking details
2. Click Confirm/Pay button
3. Observe result</t>
  </si>
  <si>
    <t>Booking is confirmed and a success message or booking ID is shown</t>
  </si>
  <si>
    <t>Booking is saved in the system</t>
  </si>
  <si>
    <t>Cancel Before Confirming</t>
  </si>
  <si>
    <t>Verify user can cancel before confirming the booking</t>
  </si>
  <si>
    <t>1. Click Cancel or Back button</t>
  </si>
  <si>
    <t>User is returned to seat selection with no booking created</t>
  </si>
  <si>
    <t>No booking record is created</t>
  </si>
  <si>
    <t>View Booking History</t>
  </si>
  <si>
    <t>Verify user can see their past bookings</t>
  </si>
  <si>
    <t>User is logged in and has at least one confirmed booking</t>
  </si>
  <si>
    <t>1. Navigate to My Bookings or Profile section
2. Observe booking list</t>
  </si>
  <si>
    <t>List of bookings with movie, date, seats, and status is displayed</t>
  </si>
  <si>
    <t>Booking history is visible</t>
  </si>
  <si>
    <t>Booking Ticket Details</t>
  </si>
  <si>
    <t>Verify ticket details are correct in booking history</t>
  </si>
  <si>
    <t>User has at least one confirmed booking</t>
  </si>
  <si>
    <t>1. Click on a booking in the history list
2. Observe details</t>
  </si>
  <si>
    <t>Booking ID, movie, showtime, seat numbers, and price are all correct</t>
  </si>
  <si>
    <t>Ticket details are accurate</t>
  </si>
  <si>
    <t>Duplicate Booking Prevention</t>
  </si>
  <si>
    <t>Verify the same seat cannot be booked twice</t>
  </si>
  <si>
    <t>A seat has already been booked by another user or in a prior booking</t>
  </si>
  <si>
    <t>1. Attempt to select an already-booked seat in the seat map</t>
  </si>
  <si>
    <t>Already-booked seat appears as reserved and cannot be selected</t>
  </si>
  <si>
    <t>Seat remains unavailable</t>
  </si>
  <si>
    <t>Booking Confirmation Load Time</t>
  </si>
  <si>
    <t>Verify confirmation page loads quickly</t>
  </si>
  <si>
    <t>1. Click Proceed
2. Measure time for confirmation page to load</t>
  </si>
  <si>
    <t>Confirmation page loads within 3 seconds</t>
  </si>
  <si>
    <t>Page is displayed</t>
  </si>
  <si>
    <t>Booking Success Feedback</t>
  </si>
  <si>
    <t>Verify user receives clear confirmation after booking</t>
  </si>
  <si>
    <t>User has confirmed a booking</t>
  </si>
  <si>
    <t>1. Complete a booking
2. Observe the feedback shown</t>
  </si>
  <si>
    <t>A clear success message with booking ID is displayed immediately</t>
  </si>
  <si>
    <t>User is aware booking is confirmed</t>
  </si>
  <si>
    <t>Booking History Load Time</t>
  </si>
  <si>
    <t>Verify booking history page loads in acceptable time</t>
  </si>
  <si>
    <t>User is logged in with booking records</t>
  </si>
  <si>
    <t>1. Navigate to My Bookings
2. Measure time to display list</t>
  </si>
  <si>
    <t>Booking history loads within 4 seconds</t>
  </si>
  <si>
    <t>Booking list is shown</t>
  </si>
  <si>
    <t>Data Accuracy After Booking</t>
  </si>
  <si>
    <t>Verify booked seats are immediately shown as reserved</t>
  </si>
  <si>
    <t>User has just completed a booking</t>
  </si>
  <si>
    <t>1. Complete a booking
2. Return to seat selection for the same showtime
3. Observe booked seats</t>
  </si>
  <si>
    <t>Previously booked seats are shown as reserved/unavailable</t>
  </si>
  <si>
    <t>Seat map reflects real-time data</t>
  </si>
  <si>
    <t>Booking Cancellation Feedback</t>
  </si>
  <si>
    <t>Verify clear feedback when user cancels a booking</t>
  </si>
  <si>
    <t>1. Click Cancel
2. Observe the response</t>
  </si>
  <si>
    <t>User is clearly redirected with no ambiguity about booking status</t>
  </si>
  <si>
    <t>No booking is created</t>
  </si>
  <si>
    <t>Admin Module</t>
  </si>
  <si>
    <t>Admin Login</t>
  </si>
  <si>
    <t>Verify admin can log in with admin credentials</t>
  </si>
  <si>
    <t>Admin account exists in the database</t>
  </si>
  <si>
    <t>1. Navigate to login page
2. Enter admin credentials
3. Click Login</t>
  </si>
  <si>
    <t>Email: admin@cinema.com
Password: Admin@123</t>
  </si>
  <si>
    <t>Admin is logged in and sees the admin dashboard</t>
  </si>
  <si>
    <t>Admin is on dashboard</t>
  </si>
  <si>
    <t>Add New Showtime</t>
  </si>
  <si>
    <t>Verify admin can add a new showtime for a movie</t>
  </si>
  <si>
    <t>Admin is logged in</t>
  </si>
  <si>
    <t>1. Navigate to showtimes management
2. Fill in movie, date, time, hall
3. Click Save</t>
  </si>
  <si>
    <t>Movie: any, Date: future date, Time: valid time, Hall: any</t>
  </si>
  <si>
    <t>New showtime appears in the showtimes list</t>
  </si>
  <si>
    <t>Showtime is created</t>
  </si>
  <si>
    <t>Edit Existing Showtime</t>
  </si>
  <si>
    <t>Verify admin can edit an existing showtime</t>
  </si>
  <si>
    <t>Admin is logged in; at least one showtime exists</t>
  </si>
  <si>
    <t>1. Select a showtime
2. Modify a detail
3. Click Save</t>
  </si>
  <si>
    <t>Change time or hall value</t>
  </si>
  <si>
    <t>Showtime is updated with the new details in the list</t>
  </si>
  <si>
    <t>Showtime is modified</t>
  </si>
  <si>
    <t>Delete Showtime</t>
  </si>
  <si>
    <t>Verify admin can delete a showtime</t>
  </si>
  <si>
    <t>Admin is logged in; at least one showtime with no bookings exists</t>
  </si>
  <si>
    <t>1. Select a showtime
2. Click Delete
3. Confirm deletion</t>
  </si>
  <si>
    <t>Showtime is removed from the list</t>
  </si>
  <si>
    <t>Showtime no longer appears</t>
  </si>
  <si>
    <t>Cannot Delete Showtime with Active Bookings</t>
  </si>
  <si>
    <t>Verify showtime with bookings cannot be deleted</t>
  </si>
  <si>
    <t>A showtime that has confirmed bookings exists</t>
  </si>
  <si>
    <t>1. Try to delete a showtime that has active bookings</t>
  </si>
  <si>
    <t>Error message: 'Cannot delete showtime with active bookings'</t>
  </si>
  <si>
    <t>Showtime remains in the list</t>
  </si>
  <si>
    <t>Admin View All Bookings</t>
  </si>
  <si>
    <t>Verify admin can see all user bookings</t>
  </si>
  <si>
    <t>Admin is logged in; bookings exist in the system</t>
  </si>
  <si>
    <t>1. Navigate to bookings management section
2. Observe booking list</t>
  </si>
  <si>
    <t>All bookings with user, movie, showtime, seats, and status are listed</t>
  </si>
  <si>
    <t>Booking list is visible</t>
  </si>
  <si>
    <t>Admin Dashboard Load Time</t>
  </si>
  <si>
    <t>Verify admin dashboard loads quickly</t>
  </si>
  <si>
    <t>1. Log in as admin
2. Measure time for dashboard to fully load</t>
  </si>
  <si>
    <t>Admin dashboard loads within 4 seconds</t>
  </si>
  <si>
    <t>Dashboard is fully visible</t>
  </si>
  <si>
    <t>Admin Action Response Time</t>
  </si>
  <si>
    <t>Verify admin CRUD operations respond quickly</t>
  </si>
  <si>
    <t>Admin is on showtimes management page</t>
  </si>
  <si>
    <t>1. Add a new showtime
2. Measure time from Save click to confirmation</t>
  </si>
  <si>
    <t>Create/Edit/Delete operations complete within 3 seconds</t>
  </si>
  <si>
    <t>Action is confirmed</t>
  </si>
  <si>
    <t>Admin UI Clarity</t>
  </si>
  <si>
    <t>Verify admin interface is clean and easy to navigate</t>
  </si>
  <si>
    <t>1. Navigate through all admin sections
2. Check for clear labels and consistent layout</t>
  </si>
  <si>
    <t>All admin sections have clear headings, buttons, and navigation</t>
  </si>
  <si>
    <t>Admin can easily find all functions</t>
  </si>
  <si>
    <t>Admin Access Control</t>
  </si>
  <si>
    <t>Verify non-admin users cannot access admin pages</t>
  </si>
  <si>
    <t>Regular user is logged in</t>
  </si>
  <si>
    <t>1. Try to navigate directly to an admin URL</t>
  </si>
  <si>
    <t>Admin URL e.g. /admin/showtimes</t>
  </si>
  <si>
    <t>Access is denied; user sees 403 error or is redirected to home</t>
  </si>
  <si>
    <t>Admin page is not accessible to regular users</t>
  </si>
  <si>
    <t>Concurrency - Multiple Bookings Same Seat</t>
  </si>
  <si>
    <t>Verify system handles two users booking the same seat simultaneously</t>
  </si>
  <si>
    <t>Two users attempt to book the same seat at the same time</t>
  </si>
  <si>
    <t>1. Simulate two simultaneous booking requests for the same seat</t>
  </si>
  <si>
    <t>Only one booking succeeds; the other user receives a seat unavailable message</t>
  </si>
  <si>
    <t>Data integrity is maintained</t>
  </si>
  <si>
    <t>User Profile Module</t>
  </si>
  <si>
    <t>Profile Page Load</t>
  </si>
  <si>
    <t>Verify user profile page loads with correct information</t>
  </si>
  <si>
    <t>1. Navigate to profile/account page
2. Observe content</t>
  </si>
  <si>
    <t>User's name, email, and profile details are displayed correctly</t>
  </si>
  <si>
    <t>Profile page is visible</t>
  </si>
  <si>
    <t>Update Profile - Valid Data</t>
  </si>
  <si>
    <t>Verify user can successfully update their profile</t>
  </si>
  <si>
    <t>User is on profile page</t>
  </si>
  <si>
    <t>1. Edit a profile field (e.g. name)
2. Click Save
3. Observe result</t>
  </si>
  <si>
    <t>Name: New Test Name</t>
  </si>
  <si>
    <t>Profile is updated and a success message is displayed</t>
  </si>
  <si>
    <t>Updated profile is saved</t>
  </si>
  <si>
    <t>Update Profile - Empty Required Field</t>
  </si>
  <si>
    <t>Verify validation when a required field is cleared</t>
  </si>
  <si>
    <t>1. Clear the name field
2. Click Save</t>
  </si>
  <si>
    <t>Name: &lt;empty&gt;</t>
  </si>
  <si>
    <t>Validation error: 'Name is required'</t>
  </si>
  <si>
    <t>Profile is not saved; user remains on profile page</t>
  </si>
  <si>
    <t>Profile Data Persistence</t>
  </si>
  <si>
    <t>Verify updated profile data persists after logout and login</t>
  </si>
  <si>
    <t>User has updated their profile</t>
  </si>
  <si>
    <t>1. Update name
2. Save
3. Log out
4. Log back in
5. Go to profile</t>
  </si>
  <si>
    <t>Updated name is still shown after re-login</t>
  </si>
  <si>
    <t>Profile data is persistent</t>
  </si>
  <si>
    <t>Profile Page Load Time</t>
  </si>
  <si>
    <t>Verify profile page loads within acceptable time</t>
  </si>
  <si>
    <t>1. Navigate to profile page
2. Measure load time</t>
  </si>
  <si>
    <t>Profile page loads within 3 seconds</t>
  </si>
  <si>
    <t>Page is fully displayed</t>
  </si>
  <si>
    <t>Profile Update Response Time</t>
  </si>
  <si>
    <t>Verify save action responds quickly</t>
  </si>
  <si>
    <t>User is on profile page with changes ready</t>
  </si>
  <si>
    <t>1. Click Save
2. Measure time to success message</t>
  </si>
  <si>
    <t>Profile save completes and confirms within 3 seconds</t>
  </si>
  <si>
    <t>Success message is shown</t>
  </si>
  <si>
    <t>Profile UI Consistency</t>
  </si>
  <si>
    <t>Verify profile page layout is clean and consistent with the rest of the system</t>
  </si>
  <si>
    <t>1. Observe layout, fonts, and colours
2. Compare with other pages</t>
  </si>
  <si>
    <t>Profile page follows the same design language as the rest of the application</t>
  </si>
  <si>
    <t>UI is consistent</t>
  </si>
  <si>
    <t>Input Field Character Limits</t>
  </si>
  <si>
    <t>Verify input fields enforce character limits appropriately</t>
  </si>
  <si>
    <t>1. Enter a very long string in name field
2. Observe field behaviour</t>
  </si>
  <si>
    <t>Name: 300+ character string</t>
  </si>
  <si>
    <t>Field enforces a maximum character limit and does not accept excessively long input</t>
  </si>
  <si>
    <t>Sanuji Wickramarachchi</t>
  </si>
  <si>
    <t>Test Suite for Movie Ticket Booking
 System</t>
  </si>
  <si>
    <t>Test Suite for Movie Ticket Booking 
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</si>
</sst>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FFFFFF"/>
      <name val="Arial"/>
    </font>
    <font>
      <sz val="10"/>
      <color rgb="FF000000"/>
      <name val="Arial"/>
    </font>
    <font>
      <b/>
      <sz val="10"/>
      <color rgb="FF0F6E56"/>
      <name val="Arial"/>
    </font>
  </fonts>
  <fills count="8">
    <fill>
      <patternFill patternType="none"/>
    </fill>
    <fill>
      <patternFill patternType="gray125"/>
    </fill>
    <fill>
      <patternFill patternType="solid">
        <fgColor rgb="FF45818E"/>
        <bgColor rgb="FF45818E"/>
      </patternFill>
    </fill>
    <fill>
      <patternFill patternType="solid">
        <fgColor rgb="FFD9EAD3"/>
        <bgColor rgb="FFD9EAD3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2" borderId="0" xfId="0" applyFont="1" applyFill="1" applyAlignment="1">
      <alignment horizontal="center" vertical="top" wrapText="1"/>
    </xf>
    <xf numFmtId="0" fontId="4" fillId="3" borderId="0" xfId="0" applyFont="1" applyFill="1" applyAlignment="1">
      <alignment horizontal="center" vertical="top" wrapText="1"/>
    </xf>
    <xf numFmtId="0" fontId="2" fillId="4" borderId="0" xfId="0" applyFont="1" applyFill="1"/>
    <xf numFmtId="0" fontId="0" fillId="5" borderId="0" xfId="0" applyFill="1"/>
    <xf numFmtId="0" fontId="2" fillId="6" borderId="0" xfId="0" applyFont="1" applyFill="1"/>
    <xf numFmtId="0" fontId="0" fillId="6" borderId="0" xfId="0" applyFill="1"/>
    <xf numFmtId="0" fontId="1" fillId="2" borderId="0" xfId="0" applyFont="1" applyFill="1" applyAlignment="1">
      <alignment horizontal="center" vertical="center" wrapText="1"/>
    </xf>
    <xf numFmtId="0" fontId="2" fillId="7" borderId="0" xfId="0" applyFont="1" applyFill="1"/>
    <xf numFmtId="0" fontId="0" fillId="0" borderId="0" xfId="0" applyAlignment="1">
      <alignment horizontal="left" vertical="top" wrapText="1"/>
    </xf>
    <xf numFmtId="165" fontId="0" fillId="5" borderId="0" xfId="0" applyNumberFormat="1" applyFill="1"/>
    <xf numFmtId="0" fontId="4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vertical="top" wrapText="1"/>
    </xf>
    <xf numFmtId="0" fontId="5" fillId="3" borderId="0" xfId="0" applyFont="1" applyFill="1" applyAlignment="1">
      <alignment horizontal="center" vertical="center"/>
    </xf>
    <xf numFmtId="0" fontId="0" fillId="5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workbookViewId="0">
      <selection activeCell="B6" sqref="B6"/>
    </sheetView>
  </sheetViews>
  <sheetFormatPr defaultRowHeight="14.4" x14ac:dyDescent="0.3"/>
  <cols>
    <col min="1" max="1" width="28" customWidth="1"/>
    <col min="2" max="2" width="31.88671875" customWidth="1"/>
    <col min="3" max="3" width="38" customWidth="1"/>
    <col min="4" max="4" width="28" customWidth="1"/>
    <col min="5" max="5" width="38" customWidth="1"/>
    <col min="6" max="6" width="28" customWidth="1"/>
    <col min="7" max="7" width="38" customWidth="1"/>
    <col min="8" max="8" width="28" customWidth="1"/>
    <col min="9" max="9" width="38" customWidth="1"/>
    <col min="10" max="10" width="10" customWidth="1"/>
    <col min="11" max="11" width="12" customWidth="1"/>
  </cols>
  <sheetData>
    <row r="1" spans="1:11" x14ac:dyDescent="0.3">
      <c r="A1" s="1" t="s">
        <v>0</v>
      </c>
      <c r="G1" s="2" t="s">
        <v>1</v>
      </c>
    </row>
    <row r="2" spans="1:11" x14ac:dyDescent="0.3">
      <c r="G2" s="3" t="s">
        <v>2</v>
      </c>
      <c r="H2" s="4" t="s">
        <v>3</v>
      </c>
      <c r="I2" s="3" t="s">
        <v>4</v>
      </c>
      <c r="J2" s="4" t="s">
        <v>3</v>
      </c>
    </row>
    <row r="3" spans="1:11" x14ac:dyDescent="0.3">
      <c r="A3" s="5" t="s">
        <v>5</v>
      </c>
      <c r="B3" s="6" t="s">
        <v>6</v>
      </c>
      <c r="G3" s="13" t="s">
        <v>7</v>
      </c>
      <c r="H3" s="14">
        <f>COUNTIF(K12:K25,"High")</f>
        <v>4</v>
      </c>
      <c r="I3" s="13" t="s">
        <v>8</v>
      </c>
      <c r="J3" s="14">
        <f>COUNTIF(J12:J25,"Pass")</f>
        <v>13</v>
      </c>
    </row>
    <row r="4" spans="1:11" x14ac:dyDescent="0.3">
      <c r="A4" s="5" t="s">
        <v>9</v>
      </c>
      <c r="B4" s="6" t="s">
        <v>10</v>
      </c>
      <c r="G4" s="13" t="s">
        <v>11</v>
      </c>
      <c r="H4" s="14">
        <f>COUNTIF(K12:K25,"Medium")</f>
        <v>4</v>
      </c>
      <c r="I4" s="13" t="s">
        <v>12</v>
      </c>
      <c r="J4" s="14">
        <f>COUNTIF(J12:J25,"Fail")</f>
        <v>0</v>
      </c>
    </row>
    <row r="5" spans="1:11" ht="30" customHeight="1" x14ac:dyDescent="0.3">
      <c r="A5" s="5" t="s">
        <v>13</v>
      </c>
      <c r="B5" s="17" t="s">
        <v>427</v>
      </c>
      <c r="G5" s="13" t="s">
        <v>14</v>
      </c>
      <c r="H5" s="14">
        <f>COUNTIF(K12:K25,"Low")</f>
        <v>3</v>
      </c>
      <c r="I5" s="13" t="s">
        <v>15</v>
      </c>
      <c r="J5" s="14">
        <f>COUNTIF(J12:J25,"N/A")</f>
        <v>0</v>
      </c>
    </row>
    <row r="6" spans="1:11" x14ac:dyDescent="0.3">
      <c r="A6" s="5" t="s">
        <v>16</v>
      </c>
      <c r="B6" s="6" t="s">
        <v>426</v>
      </c>
      <c r="G6" s="13" t="s">
        <v>17</v>
      </c>
      <c r="H6" s="14">
        <f>COUNTIF(K12:K25,"Critical")</f>
        <v>2</v>
      </c>
      <c r="I6" s="13" t="s">
        <v>15</v>
      </c>
      <c r="J6" s="14">
        <f>COUNTIF(J12:J25,"N/A")</f>
        <v>0</v>
      </c>
    </row>
    <row r="7" spans="1:11" x14ac:dyDescent="0.3">
      <c r="A7" s="5" t="s">
        <v>18</v>
      </c>
      <c r="B7" s="12">
        <v>46115</v>
      </c>
    </row>
    <row r="8" spans="1:11" x14ac:dyDescent="0.3">
      <c r="A8" s="5" t="s">
        <v>19</v>
      </c>
      <c r="B8" s="12">
        <v>46142</v>
      </c>
    </row>
    <row r="9" spans="1:11" x14ac:dyDescent="0.3">
      <c r="A9" s="7" t="s">
        <v>20</v>
      </c>
      <c r="B9" s="8" t="s">
        <v>21</v>
      </c>
    </row>
    <row r="10" spans="1:11" ht="22.05" customHeight="1" x14ac:dyDescent="0.3">
      <c r="A10" s="9" t="s">
        <v>22</v>
      </c>
      <c r="B10" s="9" t="s">
        <v>23</v>
      </c>
      <c r="C10" s="9" t="s">
        <v>0</v>
      </c>
      <c r="D10" s="9" t="s">
        <v>24</v>
      </c>
      <c r="E10" s="9" t="s">
        <v>25</v>
      </c>
      <c r="F10" s="9" t="s">
        <v>26</v>
      </c>
      <c r="G10" s="9" t="s">
        <v>27</v>
      </c>
      <c r="H10" s="9" t="s">
        <v>28</v>
      </c>
      <c r="I10" s="9" t="s">
        <v>29</v>
      </c>
      <c r="J10" s="9" t="s">
        <v>4</v>
      </c>
      <c r="K10" s="9" t="s">
        <v>30</v>
      </c>
    </row>
    <row r="11" spans="1:11" ht="18" customHeight="1" x14ac:dyDescent="0.3">
      <c r="A11" s="10" t="s">
        <v>31</v>
      </c>
    </row>
    <row r="12" spans="1:11" ht="45" customHeight="1" x14ac:dyDescent="0.3">
      <c r="A12" s="11" t="s">
        <v>32</v>
      </c>
      <c r="B12" s="11" t="s">
        <v>33</v>
      </c>
      <c r="C12" s="11" t="s">
        <v>34</v>
      </c>
      <c r="D12" s="11" t="s">
        <v>35</v>
      </c>
      <c r="E12" s="11" t="s">
        <v>36</v>
      </c>
      <c r="F12" s="11" t="s">
        <v>15</v>
      </c>
      <c r="G12" s="11" t="s">
        <v>37</v>
      </c>
      <c r="H12" s="11" t="s">
        <v>38</v>
      </c>
      <c r="I12" s="15" t="s">
        <v>37</v>
      </c>
      <c r="J12" s="16" t="s">
        <v>8</v>
      </c>
      <c r="K12" s="11" t="s">
        <v>7</v>
      </c>
    </row>
    <row r="13" spans="1:11" ht="45" customHeight="1" x14ac:dyDescent="0.3">
      <c r="A13" s="11" t="s">
        <v>39</v>
      </c>
      <c r="B13" s="11" t="s">
        <v>40</v>
      </c>
      <c r="C13" s="11" t="s">
        <v>41</v>
      </c>
      <c r="D13" s="11" t="s">
        <v>42</v>
      </c>
      <c r="E13" s="11" t="s">
        <v>43</v>
      </c>
      <c r="F13" s="11" t="s">
        <v>44</v>
      </c>
      <c r="G13" s="11" t="s">
        <v>45</v>
      </c>
      <c r="H13" s="11" t="s">
        <v>46</v>
      </c>
      <c r="I13" s="15" t="s">
        <v>45</v>
      </c>
      <c r="J13" s="16" t="s">
        <v>8</v>
      </c>
      <c r="K13" s="11" t="s">
        <v>11</v>
      </c>
    </row>
    <row r="14" spans="1:11" ht="45" customHeight="1" x14ac:dyDescent="0.3">
      <c r="A14" s="11" t="s">
        <v>47</v>
      </c>
      <c r="B14" s="11" t="s">
        <v>48</v>
      </c>
      <c r="C14" s="11" t="s">
        <v>49</v>
      </c>
      <c r="D14" s="11" t="s">
        <v>38</v>
      </c>
      <c r="E14" s="11" t="s">
        <v>50</v>
      </c>
      <c r="F14" s="11" t="s">
        <v>51</v>
      </c>
      <c r="G14" s="11" t="s">
        <v>52</v>
      </c>
      <c r="H14" s="11" t="s">
        <v>53</v>
      </c>
      <c r="I14" s="15" t="s">
        <v>52</v>
      </c>
      <c r="J14" s="16" t="s">
        <v>8</v>
      </c>
      <c r="K14" s="11" t="s">
        <v>14</v>
      </c>
    </row>
    <row r="15" spans="1:11" ht="45" customHeight="1" x14ac:dyDescent="0.3">
      <c r="A15" s="11" t="s">
        <v>54</v>
      </c>
      <c r="B15" s="11" t="s">
        <v>55</v>
      </c>
      <c r="C15" s="11" t="s">
        <v>56</v>
      </c>
      <c r="D15" s="11" t="s">
        <v>38</v>
      </c>
      <c r="E15" s="11" t="s">
        <v>57</v>
      </c>
      <c r="F15" s="11" t="s">
        <v>58</v>
      </c>
      <c r="G15" s="11" t="s">
        <v>59</v>
      </c>
      <c r="H15" s="11" t="s">
        <v>53</v>
      </c>
      <c r="I15" s="15" t="s">
        <v>59</v>
      </c>
      <c r="J15" s="16" t="s">
        <v>8</v>
      </c>
      <c r="K15" s="11" t="s">
        <v>17</v>
      </c>
    </row>
    <row r="16" spans="1:11" ht="45" customHeight="1" x14ac:dyDescent="0.3">
      <c r="A16" s="11" t="s">
        <v>60</v>
      </c>
      <c r="B16" s="11" t="s">
        <v>61</v>
      </c>
      <c r="C16" s="11" t="s">
        <v>62</v>
      </c>
      <c r="D16" s="11" t="s">
        <v>38</v>
      </c>
      <c r="E16" s="11" t="s">
        <v>63</v>
      </c>
      <c r="F16" s="11" t="s">
        <v>64</v>
      </c>
      <c r="G16" s="11" t="s">
        <v>65</v>
      </c>
      <c r="H16" s="11" t="s">
        <v>53</v>
      </c>
      <c r="I16" s="15" t="s">
        <v>65</v>
      </c>
      <c r="J16" s="16" t="s">
        <v>8</v>
      </c>
      <c r="K16" s="11" t="s">
        <v>7</v>
      </c>
    </row>
    <row r="17" spans="1:11" ht="45" customHeight="1" x14ac:dyDescent="0.3">
      <c r="A17" s="11" t="s">
        <v>66</v>
      </c>
      <c r="B17" s="11" t="s">
        <v>67</v>
      </c>
      <c r="C17" s="11" t="s">
        <v>68</v>
      </c>
      <c r="D17" s="11" t="s">
        <v>38</v>
      </c>
      <c r="E17" s="11" t="s">
        <v>69</v>
      </c>
      <c r="F17" s="11" t="s">
        <v>70</v>
      </c>
      <c r="G17" s="11" t="s">
        <v>71</v>
      </c>
      <c r="H17" s="11" t="s">
        <v>53</v>
      </c>
      <c r="I17" s="15" t="s">
        <v>71</v>
      </c>
      <c r="J17" s="16" t="s">
        <v>8</v>
      </c>
      <c r="K17" s="11" t="s">
        <v>11</v>
      </c>
    </row>
    <row r="18" spans="1:11" ht="45" customHeight="1" x14ac:dyDescent="0.3">
      <c r="A18" s="11" t="s">
        <v>72</v>
      </c>
      <c r="B18" s="11" t="s">
        <v>73</v>
      </c>
      <c r="C18" s="11" t="s">
        <v>74</v>
      </c>
      <c r="D18" s="11" t="s">
        <v>46</v>
      </c>
      <c r="E18" s="11" t="s">
        <v>75</v>
      </c>
      <c r="F18" s="11" t="s">
        <v>15</v>
      </c>
      <c r="G18" s="11" t="s">
        <v>76</v>
      </c>
      <c r="H18" s="11" t="s">
        <v>38</v>
      </c>
      <c r="I18" s="15" t="s">
        <v>76</v>
      </c>
      <c r="J18" s="16" t="s">
        <v>8</v>
      </c>
      <c r="K18" s="11" t="s">
        <v>14</v>
      </c>
    </row>
    <row r="19" spans="1:11" ht="18" customHeight="1" x14ac:dyDescent="0.3">
      <c r="A19" s="10" t="s">
        <v>77</v>
      </c>
    </row>
    <row r="20" spans="1:11" ht="45" customHeight="1" x14ac:dyDescent="0.3">
      <c r="A20" s="11" t="s">
        <v>78</v>
      </c>
      <c r="B20" s="11" t="s">
        <v>79</v>
      </c>
      <c r="C20" s="11" t="s">
        <v>80</v>
      </c>
      <c r="D20" s="11" t="s">
        <v>81</v>
      </c>
      <c r="E20" s="11" t="s">
        <v>82</v>
      </c>
      <c r="F20" s="11" t="s">
        <v>15</v>
      </c>
      <c r="G20" s="11" t="s">
        <v>83</v>
      </c>
      <c r="H20" s="11" t="s">
        <v>84</v>
      </c>
      <c r="I20" s="15" t="s">
        <v>83</v>
      </c>
      <c r="J20" s="16" t="s">
        <v>8</v>
      </c>
      <c r="K20" s="11" t="s">
        <v>7</v>
      </c>
    </row>
    <row r="21" spans="1:11" ht="45" customHeight="1" x14ac:dyDescent="0.3">
      <c r="A21" s="11" t="s">
        <v>85</v>
      </c>
      <c r="B21" s="11" t="s">
        <v>86</v>
      </c>
      <c r="C21" s="11" t="s">
        <v>87</v>
      </c>
      <c r="D21" s="11" t="s">
        <v>88</v>
      </c>
      <c r="E21" s="11" t="s">
        <v>89</v>
      </c>
      <c r="F21" s="11" t="s">
        <v>90</v>
      </c>
      <c r="G21" s="11" t="s">
        <v>91</v>
      </c>
      <c r="H21" s="11" t="s">
        <v>92</v>
      </c>
      <c r="I21" s="15" t="s">
        <v>91</v>
      </c>
      <c r="J21" s="16" t="s">
        <v>8</v>
      </c>
      <c r="K21" s="11" t="s">
        <v>11</v>
      </c>
    </row>
    <row r="22" spans="1:11" ht="45" customHeight="1" x14ac:dyDescent="0.3">
      <c r="A22" s="11" t="s">
        <v>93</v>
      </c>
      <c r="B22" s="11" t="s">
        <v>94</v>
      </c>
      <c r="C22" s="11" t="s">
        <v>95</v>
      </c>
      <c r="D22" s="11" t="s">
        <v>38</v>
      </c>
      <c r="E22" s="11" t="s">
        <v>96</v>
      </c>
      <c r="F22" s="11" t="s">
        <v>97</v>
      </c>
      <c r="G22" s="11" t="s">
        <v>98</v>
      </c>
      <c r="H22" s="11" t="s">
        <v>99</v>
      </c>
      <c r="I22" s="15" t="s">
        <v>98</v>
      </c>
      <c r="J22" s="16" t="s">
        <v>8</v>
      </c>
      <c r="K22" s="11" t="s">
        <v>14</v>
      </c>
    </row>
    <row r="23" spans="1:11" ht="45" customHeight="1" x14ac:dyDescent="0.3">
      <c r="A23" s="11" t="s">
        <v>100</v>
      </c>
      <c r="B23" s="11" t="s">
        <v>101</v>
      </c>
      <c r="C23" s="11" t="s">
        <v>102</v>
      </c>
      <c r="D23" s="11" t="s">
        <v>46</v>
      </c>
      <c r="E23" s="11" t="s">
        <v>103</v>
      </c>
      <c r="F23" s="11" t="s">
        <v>15</v>
      </c>
      <c r="G23" s="11" t="s">
        <v>104</v>
      </c>
      <c r="H23" s="11" t="s">
        <v>105</v>
      </c>
      <c r="I23" s="15" t="s">
        <v>104</v>
      </c>
      <c r="J23" s="16" t="s">
        <v>8</v>
      </c>
      <c r="K23" s="11" t="s">
        <v>17</v>
      </c>
    </row>
    <row r="24" spans="1:11" ht="45" customHeight="1" x14ac:dyDescent="0.3">
      <c r="A24" s="11" t="s">
        <v>106</v>
      </c>
      <c r="B24" s="11" t="s">
        <v>107</v>
      </c>
      <c r="C24" s="11" t="s">
        <v>108</v>
      </c>
      <c r="D24" s="11" t="s">
        <v>38</v>
      </c>
      <c r="E24" s="11" t="s">
        <v>109</v>
      </c>
      <c r="F24" s="11" t="s">
        <v>15</v>
      </c>
      <c r="G24" s="11" t="s">
        <v>110</v>
      </c>
      <c r="H24" s="11" t="s">
        <v>53</v>
      </c>
      <c r="I24" s="15" t="s">
        <v>110</v>
      </c>
      <c r="J24" s="16" t="s">
        <v>8</v>
      </c>
      <c r="K24" s="11" t="s">
        <v>7</v>
      </c>
    </row>
    <row r="25" spans="1:11" ht="45" customHeight="1" x14ac:dyDescent="0.3">
      <c r="A25" s="11" t="s">
        <v>111</v>
      </c>
      <c r="B25" s="11" t="s">
        <v>112</v>
      </c>
      <c r="C25" s="11" t="s">
        <v>113</v>
      </c>
      <c r="D25" s="11" t="s">
        <v>114</v>
      </c>
      <c r="E25" s="11" t="s">
        <v>115</v>
      </c>
      <c r="F25" s="11" t="s">
        <v>15</v>
      </c>
      <c r="G25" s="11" t="s">
        <v>116</v>
      </c>
      <c r="H25" s="11" t="s">
        <v>117</v>
      </c>
      <c r="I25" s="15" t="s">
        <v>116</v>
      </c>
      <c r="J25" s="16" t="s">
        <v>8</v>
      </c>
      <c r="K25" s="11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3"/>
  <sheetViews>
    <sheetView topLeftCell="A12" workbookViewId="0">
      <selection activeCell="C9" sqref="C8:C9"/>
    </sheetView>
  </sheetViews>
  <sheetFormatPr defaultRowHeight="14.4" x14ac:dyDescent="0.3"/>
  <cols>
    <col min="1" max="1" width="28" customWidth="1"/>
    <col min="2" max="2" width="31.44140625" customWidth="1"/>
    <col min="3" max="3" width="38" customWidth="1"/>
    <col min="4" max="4" width="28" customWidth="1"/>
    <col min="5" max="5" width="38" customWidth="1"/>
    <col min="6" max="6" width="28" customWidth="1"/>
    <col min="7" max="7" width="38" customWidth="1"/>
    <col min="8" max="8" width="28" customWidth="1"/>
    <col min="9" max="9" width="38" customWidth="1"/>
    <col min="10" max="10" width="10" customWidth="1"/>
    <col min="11" max="11" width="12" customWidth="1"/>
  </cols>
  <sheetData>
    <row r="1" spans="1:11" x14ac:dyDescent="0.3">
      <c r="A1" s="1" t="s">
        <v>0</v>
      </c>
      <c r="G1" s="2" t="s">
        <v>1</v>
      </c>
    </row>
    <row r="2" spans="1:11" x14ac:dyDescent="0.3">
      <c r="G2" s="3" t="s">
        <v>2</v>
      </c>
      <c r="H2" s="4" t="s">
        <v>3</v>
      </c>
      <c r="I2" s="3" t="s">
        <v>4</v>
      </c>
      <c r="J2" s="4" t="s">
        <v>3</v>
      </c>
    </row>
    <row r="3" spans="1:11" x14ac:dyDescent="0.3">
      <c r="A3" s="5" t="s">
        <v>5</v>
      </c>
      <c r="B3" s="6" t="s">
        <v>6</v>
      </c>
      <c r="G3" s="13" t="s">
        <v>7</v>
      </c>
      <c r="H3" s="14">
        <f>COUNTIF(K12:K23,"High")</f>
        <v>4</v>
      </c>
      <c r="I3" s="13" t="s">
        <v>8</v>
      </c>
      <c r="J3" s="14">
        <f>COUNTIF(J12:J23,"Pass")</f>
        <v>11</v>
      </c>
    </row>
    <row r="4" spans="1:11" x14ac:dyDescent="0.3">
      <c r="A4" s="5" t="s">
        <v>9</v>
      </c>
      <c r="B4" s="6" t="s">
        <v>118</v>
      </c>
      <c r="G4" s="13" t="s">
        <v>11</v>
      </c>
      <c r="H4" s="14">
        <f>COUNTIF(K12:K23,"Medium")</f>
        <v>3</v>
      </c>
      <c r="I4" s="13" t="s">
        <v>12</v>
      </c>
      <c r="J4" s="14">
        <f>COUNTIF(J12:J23,"Fail")</f>
        <v>0</v>
      </c>
    </row>
    <row r="5" spans="1:11" ht="28.8" x14ac:dyDescent="0.3">
      <c r="A5" s="5" t="s">
        <v>13</v>
      </c>
      <c r="B5" s="17" t="s">
        <v>428</v>
      </c>
      <c r="G5" s="13" t="s">
        <v>14</v>
      </c>
      <c r="H5" s="14">
        <f>COUNTIF(K12:K23,"Low")</f>
        <v>2</v>
      </c>
      <c r="I5" s="13" t="s">
        <v>15</v>
      </c>
      <c r="J5" s="14">
        <f>COUNTIF(J12:J23,"N/A")</f>
        <v>0</v>
      </c>
    </row>
    <row r="6" spans="1:11" x14ac:dyDescent="0.3">
      <c r="A6" s="5" t="s">
        <v>16</v>
      </c>
      <c r="B6" s="6" t="s">
        <v>426</v>
      </c>
      <c r="G6" s="13" t="s">
        <v>17</v>
      </c>
      <c r="H6" s="14">
        <f>COUNTIF(K12:K23,"Critical")</f>
        <v>2</v>
      </c>
      <c r="I6" s="13" t="s">
        <v>15</v>
      </c>
      <c r="J6" s="14">
        <f>COUNTIF(J12:J23,"N/A")</f>
        <v>0</v>
      </c>
    </row>
    <row r="7" spans="1:11" x14ac:dyDescent="0.3">
      <c r="A7" s="5" t="s">
        <v>18</v>
      </c>
      <c r="B7" s="12">
        <v>46115</v>
      </c>
    </row>
    <row r="8" spans="1:11" x14ac:dyDescent="0.3">
      <c r="A8" s="5" t="s">
        <v>19</v>
      </c>
      <c r="B8" s="12">
        <v>46142</v>
      </c>
    </row>
    <row r="9" spans="1:11" x14ac:dyDescent="0.3">
      <c r="A9" s="7" t="s">
        <v>20</v>
      </c>
      <c r="B9" s="8" t="s">
        <v>21</v>
      </c>
    </row>
    <row r="10" spans="1:11" ht="22.05" customHeight="1" x14ac:dyDescent="0.3">
      <c r="A10" s="9" t="s">
        <v>22</v>
      </c>
      <c r="B10" s="9" t="s">
        <v>23</v>
      </c>
      <c r="C10" s="9" t="s">
        <v>0</v>
      </c>
      <c r="D10" s="9" t="s">
        <v>24</v>
      </c>
      <c r="E10" s="9" t="s">
        <v>25</v>
      </c>
      <c r="F10" s="9" t="s">
        <v>26</v>
      </c>
      <c r="G10" s="9" t="s">
        <v>27</v>
      </c>
      <c r="H10" s="9" t="s">
        <v>28</v>
      </c>
      <c r="I10" s="9" t="s">
        <v>29</v>
      </c>
      <c r="J10" s="9" t="s">
        <v>4</v>
      </c>
      <c r="K10" s="9" t="s">
        <v>30</v>
      </c>
    </row>
    <row r="11" spans="1:11" ht="18" customHeight="1" x14ac:dyDescent="0.3">
      <c r="A11" s="10" t="s">
        <v>31</v>
      </c>
    </row>
    <row r="12" spans="1:11" ht="45" customHeight="1" x14ac:dyDescent="0.3">
      <c r="A12" s="11" t="s">
        <v>32</v>
      </c>
      <c r="B12" s="11" t="s">
        <v>119</v>
      </c>
      <c r="C12" s="11" t="s">
        <v>120</v>
      </c>
      <c r="D12" s="11" t="s">
        <v>46</v>
      </c>
      <c r="E12" s="11" t="s">
        <v>121</v>
      </c>
      <c r="F12" s="11" t="s">
        <v>15</v>
      </c>
      <c r="G12" s="11" t="s">
        <v>122</v>
      </c>
      <c r="H12" s="11" t="s">
        <v>123</v>
      </c>
      <c r="I12" s="15" t="s">
        <v>122</v>
      </c>
      <c r="J12" s="16" t="s">
        <v>8</v>
      </c>
      <c r="K12" s="11" t="s">
        <v>7</v>
      </c>
    </row>
    <row r="13" spans="1:11" ht="45" customHeight="1" x14ac:dyDescent="0.3">
      <c r="A13" s="11" t="s">
        <v>39</v>
      </c>
      <c r="B13" s="11" t="s">
        <v>124</v>
      </c>
      <c r="C13" s="11" t="s">
        <v>125</v>
      </c>
      <c r="D13" s="11" t="s">
        <v>126</v>
      </c>
      <c r="E13" s="11" t="s">
        <v>127</v>
      </c>
      <c r="F13" s="11" t="s">
        <v>15</v>
      </c>
      <c r="G13" s="11" t="s">
        <v>128</v>
      </c>
      <c r="H13" s="11" t="s">
        <v>129</v>
      </c>
      <c r="I13" s="15" t="s">
        <v>128</v>
      </c>
      <c r="J13" s="16" t="s">
        <v>8</v>
      </c>
      <c r="K13" s="11" t="s">
        <v>11</v>
      </c>
    </row>
    <row r="14" spans="1:11" ht="45" customHeight="1" x14ac:dyDescent="0.3">
      <c r="A14" s="11" t="s">
        <v>47</v>
      </c>
      <c r="B14" s="11" t="s">
        <v>130</v>
      </c>
      <c r="C14" s="11" t="s">
        <v>131</v>
      </c>
      <c r="D14" s="11" t="s">
        <v>132</v>
      </c>
      <c r="E14" s="11" t="s">
        <v>133</v>
      </c>
      <c r="F14" s="11" t="s">
        <v>134</v>
      </c>
      <c r="G14" s="11" t="s">
        <v>135</v>
      </c>
      <c r="H14" s="11" t="s">
        <v>136</v>
      </c>
      <c r="I14" s="15" t="s">
        <v>135</v>
      </c>
      <c r="J14" s="16" t="s">
        <v>8</v>
      </c>
      <c r="K14" s="11" t="s">
        <v>14</v>
      </c>
    </row>
    <row r="15" spans="1:11" ht="45" customHeight="1" x14ac:dyDescent="0.3">
      <c r="A15" s="11" t="s">
        <v>54</v>
      </c>
      <c r="B15" s="11" t="s">
        <v>137</v>
      </c>
      <c r="C15" s="11" t="s">
        <v>138</v>
      </c>
      <c r="D15" s="11" t="s">
        <v>132</v>
      </c>
      <c r="E15" s="11" t="s">
        <v>139</v>
      </c>
      <c r="F15" s="11" t="s">
        <v>140</v>
      </c>
      <c r="G15" s="11" t="s">
        <v>141</v>
      </c>
      <c r="H15" s="11" t="s">
        <v>142</v>
      </c>
      <c r="I15" s="15" t="s">
        <v>141</v>
      </c>
      <c r="J15" s="16" t="s">
        <v>8</v>
      </c>
      <c r="K15" s="11" t="s">
        <v>17</v>
      </c>
    </row>
    <row r="16" spans="1:11" ht="45" customHeight="1" x14ac:dyDescent="0.3">
      <c r="A16" s="11" t="s">
        <v>60</v>
      </c>
      <c r="B16" s="11" t="s">
        <v>143</v>
      </c>
      <c r="C16" s="11" t="s">
        <v>144</v>
      </c>
      <c r="D16" s="11" t="s">
        <v>145</v>
      </c>
      <c r="E16" s="11" t="s">
        <v>146</v>
      </c>
      <c r="F16" s="11" t="s">
        <v>15</v>
      </c>
      <c r="G16" s="11" t="s">
        <v>147</v>
      </c>
      <c r="H16" s="11" t="s">
        <v>148</v>
      </c>
      <c r="I16" s="15" t="s">
        <v>147</v>
      </c>
      <c r="J16" s="16" t="s">
        <v>8</v>
      </c>
      <c r="K16" s="11" t="s">
        <v>7</v>
      </c>
    </row>
    <row r="17" spans="1:11" ht="45" customHeight="1" x14ac:dyDescent="0.3">
      <c r="A17" s="11" t="s">
        <v>66</v>
      </c>
      <c r="B17" s="11" t="s">
        <v>149</v>
      </c>
      <c r="C17" s="11" t="s">
        <v>150</v>
      </c>
      <c r="D17" s="11" t="s">
        <v>132</v>
      </c>
      <c r="E17" s="11" t="s">
        <v>151</v>
      </c>
      <c r="F17" s="11" t="s">
        <v>15</v>
      </c>
      <c r="G17" s="11" t="s">
        <v>152</v>
      </c>
      <c r="H17" s="11" t="s">
        <v>153</v>
      </c>
      <c r="I17" s="15" t="s">
        <v>152</v>
      </c>
      <c r="J17" s="16" t="s">
        <v>8</v>
      </c>
      <c r="K17" s="11" t="s">
        <v>11</v>
      </c>
    </row>
    <row r="18" spans="1:11" ht="18" customHeight="1" x14ac:dyDescent="0.3">
      <c r="A18" s="10" t="s">
        <v>77</v>
      </c>
    </row>
    <row r="19" spans="1:11" ht="45" customHeight="1" x14ac:dyDescent="0.3">
      <c r="A19" s="11" t="s">
        <v>72</v>
      </c>
      <c r="B19" s="11" t="s">
        <v>154</v>
      </c>
      <c r="C19" s="11" t="s">
        <v>155</v>
      </c>
      <c r="D19" s="11" t="s">
        <v>46</v>
      </c>
      <c r="E19" s="11" t="s">
        <v>156</v>
      </c>
      <c r="F19" s="11" t="s">
        <v>15</v>
      </c>
      <c r="G19" s="11" t="s">
        <v>157</v>
      </c>
      <c r="H19" s="11" t="s">
        <v>158</v>
      </c>
      <c r="I19" s="15" t="s">
        <v>157</v>
      </c>
      <c r="J19" s="16" t="s">
        <v>8</v>
      </c>
      <c r="K19" s="11" t="s">
        <v>7</v>
      </c>
    </row>
    <row r="20" spans="1:11" ht="45" customHeight="1" x14ac:dyDescent="0.3">
      <c r="A20" s="11" t="s">
        <v>78</v>
      </c>
      <c r="B20" s="11" t="s">
        <v>159</v>
      </c>
      <c r="C20" s="11" t="s">
        <v>160</v>
      </c>
      <c r="D20" s="11" t="s">
        <v>132</v>
      </c>
      <c r="E20" s="11" t="s">
        <v>161</v>
      </c>
      <c r="F20" s="11" t="s">
        <v>162</v>
      </c>
      <c r="G20" s="11" t="s">
        <v>163</v>
      </c>
      <c r="H20" s="11" t="s">
        <v>164</v>
      </c>
      <c r="I20" s="15" t="s">
        <v>163</v>
      </c>
      <c r="J20" s="16" t="s">
        <v>8</v>
      </c>
      <c r="K20" s="11" t="s">
        <v>11</v>
      </c>
    </row>
    <row r="21" spans="1:11" ht="45" customHeight="1" x14ac:dyDescent="0.3">
      <c r="A21" s="11" t="s">
        <v>85</v>
      </c>
      <c r="B21" s="11" t="s">
        <v>165</v>
      </c>
      <c r="C21" s="11" t="s">
        <v>166</v>
      </c>
      <c r="D21" s="11" t="s">
        <v>132</v>
      </c>
      <c r="E21" s="11" t="s">
        <v>167</v>
      </c>
      <c r="F21" s="11" t="s">
        <v>15</v>
      </c>
      <c r="G21" s="11" t="s">
        <v>168</v>
      </c>
      <c r="H21" s="11" t="s">
        <v>169</v>
      </c>
      <c r="I21" s="15" t="s">
        <v>168</v>
      </c>
      <c r="J21" s="16" t="s">
        <v>8</v>
      </c>
      <c r="K21" s="11" t="s">
        <v>14</v>
      </c>
    </row>
    <row r="22" spans="1:11" ht="45" customHeight="1" x14ac:dyDescent="0.3">
      <c r="A22" s="11" t="s">
        <v>93</v>
      </c>
      <c r="B22" s="11" t="s">
        <v>170</v>
      </c>
      <c r="C22" s="11" t="s">
        <v>171</v>
      </c>
      <c r="D22" s="11" t="s">
        <v>46</v>
      </c>
      <c r="E22" s="11" t="s">
        <v>172</v>
      </c>
      <c r="F22" s="11" t="s">
        <v>15</v>
      </c>
      <c r="G22" s="11" t="s">
        <v>173</v>
      </c>
      <c r="H22" s="11" t="s">
        <v>174</v>
      </c>
      <c r="I22" s="15" t="s">
        <v>173</v>
      </c>
      <c r="J22" s="16" t="s">
        <v>8</v>
      </c>
      <c r="K22" s="11" t="s">
        <v>17</v>
      </c>
    </row>
    <row r="23" spans="1:11" ht="45" customHeight="1" x14ac:dyDescent="0.3">
      <c r="A23" s="11" t="s">
        <v>100</v>
      </c>
      <c r="B23" s="11" t="s">
        <v>175</v>
      </c>
      <c r="C23" s="11" t="s">
        <v>176</v>
      </c>
      <c r="D23" s="11" t="s">
        <v>132</v>
      </c>
      <c r="E23" s="11" t="s">
        <v>177</v>
      </c>
      <c r="F23" s="11" t="s">
        <v>15</v>
      </c>
      <c r="G23" s="11" t="s">
        <v>178</v>
      </c>
      <c r="H23" s="11" t="s">
        <v>179</v>
      </c>
      <c r="I23" s="15" t="s">
        <v>178</v>
      </c>
      <c r="J23" s="16" t="s">
        <v>8</v>
      </c>
      <c r="K23" s="1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4"/>
  <sheetViews>
    <sheetView topLeftCell="A16" workbookViewId="0">
      <selection activeCell="C9" sqref="C9"/>
    </sheetView>
  </sheetViews>
  <sheetFormatPr defaultRowHeight="14.4" x14ac:dyDescent="0.3"/>
  <cols>
    <col min="1" max="1" width="28" customWidth="1"/>
    <col min="2" max="2" width="31.44140625" customWidth="1"/>
    <col min="3" max="3" width="38" customWidth="1"/>
    <col min="4" max="4" width="28" customWidth="1"/>
    <col min="5" max="5" width="38" customWidth="1"/>
    <col min="6" max="6" width="28" customWidth="1"/>
    <col min="7" max="7" width="38" customWidth="1"/>
    <col min="8" max="8" width="28" customWidth="1"/>
    <col min="9" max="9" width="38" customWidth="1"/>
    <col min="10" max="10" width="10" customWidth="1"/>
    <col min="11" max="11" width="12" customWidth="1"/>
  </cols>
  <sheetData>
    <row r="1" spans="1:11" x14ac:dyDescent="0.3">
      <c r="A1" s="1" t="s">
        <v>0</v>
      </c>
      <c r="G1" s="2" t="s">
        <v>1</v>
      </c>
    </row>
    <row r="2" spans="1:11" x14ac:dyDescent="0.3">
      <c r="G2" s="3" t="s">
        <v>2</v>
      </c>
      <c r="H2" s="4" t="s">
        <v>3</v>
      </c>
      <c r="I2" s="3" t="s">
        <v>4</v>
      </c>
      <c r="J2" s="4" t="s">
        <v>3</v>
      </c>
    </row>
    <row r="3" spans="1:11" x14ac:dyDescent="0.3">
      <c r="A3" s="5" t="s">
        <v>5</v>
      </c>
      <c r="B3" s="6" t="s">
        <v>6</v>
      </c>
      <c r="G3" s="13" t="s">
        <v>7</v>
      </c>
      <c r="H3" s="14">
        <f>COUNTIF(K12:K24,"High")</f>
        <v>4</v>
      </c>
      <c r="I3" s="13" t="s">
        <v>8</v>
      </c>
      <c r="J3" s="14">
        <f>COUNTIF(J12:J24,"Pass")</f>
        <v>12</v>
      </c>
    </row>
    <row r="4" spans="1:11" x14ac:dyDescent="0.3">
      <c r="A4" s="5" t="s">
        <v>9</v>
      </c>
      <c r="B4" s="6" t="s">
        <v>180</v>
      </c>
      <c r="G4" s="13" t="s">
        <v>11</v>
      </c>
      <c r="H4" s="14">
        <f>COUNTIF(K12:K24,"Medium")</f>
        <v>3</v>
      </c>
      <c r="I4" s="13" t="s">
        <v>12</v>
      </c>
      <c r="J4" s="14">
        <f>COUNTIF(J12:J24,"Fail")</f>
        <v>0</v>
      </c>
    </row>
    <row r="5" spans="1:11" ht="28.8" x14ac:dyDescent="0.3">
      <c r="A5" s="5" t="s">
        <v>13</v>
      </c>
      <c r="B5" s="17" t="s">
        <v>428</v>
      </c>
      <c r="G5" s="13" t="s">
        <v>14</v>
      </c>
      <c r="H5" s="14">
        <f>COUNTIF(K12:K24,"Low")</f>
        <v>3</v>
      </c>
      <c r="I5" s="13" t="s">
        <v>15</v>
      </c>
      <c r="J5" s="14">
        <f>COUNTIF(J12:J24,"N/A")</f>
        <v>0</v>
      </c>
    </row>
    <row r="6" spans="1:11" x14ac:dyDescent="0.3">
      <c r="A6" s="5" t="s">
        <v>16</v>
      </c>
      <c r="B6" s="6" t="s">
        <v>426</v>
      </c>
      <c r="G6" s="13" t="s">
        <v>17</v>
      </c>
      <c r="H6" s="14">
        <f>COUNTIF(K12:K24,"Critical")</f>
        <v>2</v>
      </c>
      <c r="I6" s="13" t="s">
        <v>15</v>
      </c>
      <c r="J6" s="14">
        <f>COUNTIF(J12:J24,"N/A")</f>
        <v>0</v>
      </c>
    </row>
    <row r="7" spans="1:11" x14ac:dyDescent="0.3">
      <c r="A7" s="5" t="s">
        <v>18</v>
      </c>
      <c r="B7" s="12">
        <v>46115</v>
      </c>
    </row>
    <row r="8" spans="1:11" x14ac:dyDescent="0.3">
      <c r="A8" s="5" t="s">
        <v>19</v>
      </c>
      <c r="B8" s="12">
        <v>46142</v>
      </c>
    </row>
    <row r="9" spans="1:11" x14ac:dyDescent="0.3">
      <c r="A9" s="7" t="s">
        <v>20</v>
      </c>
      <c r="B9" s="8" t="s">
        <v>21</v>
      </c>
    </row>
    <row r="10" spans="1:11" ht="22.05" customHeight="1" x14ac:dyDescent="0.3">
      <c r="A10" s="9" t="s">
        <v>22</v>
      </c>
      <c r="B10" s="9" t="s">
        <v>23</v>
      </c>
      <c r="C10" s="9" t="s">
        <v>0</v>
      </c>
      <c r="D10" s="9" t="s">
        <v>24</v>
      </c>
      <c r="E10" s="9" t="s">
        <v>25</v>
      </c>
      <c r="F10" s="9" t="s">
        <v>26</v>
      </c>
      <c r="G10" s="9" t="s">
        <v>27</v>
      </c>
      <c r="H10" s="9" t="s">
        <v>28</v>
      </c>
      <c r="I10" s="9" t="s">
        <v>29</v>
      </c>
      <c r="J10" s="9" t="s">
        <v>4</v>
      </c>
      <c r="K10" s="9" t="s">
        <v>30</v>
      </c>
    </row>
    <row r="11" spans="1:11" ht="18" customHeight="1" x14ac:dyDescent="0.3">
      <c r="A11" s="10" t="s">
        <v>31</v>
      </c>
    </row>
    <row r="12" spans="1:11" ht="45" customHeight="1" x14ac:dyDescent="0.3">
      <c r="A12" s="11" t="s">
        <v>32</v>
      </c>
      <c r="B12" s="11" t="s">
        <v>181</v>
      </c>
      <c r="C12" s="11" t="s">
        <v>182</v>
      </c>
      <c r="D12" s="11" t="s">
        <v>183</v>
      </c>
      <c r="E12" s="11" t="s">
        <v>184</v>
      </c>
      <c r="F12" s="11" t="s">
        <v>15</v>
      </c>
      <c r="G12" s="11" t="s">
        <v>185</v>
      </c>
      <c r="H12" s="11" t="s">
        <v>186</v>
      </c>
      <c r="I12" s="15" t="s">
        <v>185</v>
      </c>
      <c r="J12" s="16" t="s">
        <v>8</v>
      </c>
      <c r="K12" s="11" t="s">
        <v>7</v>
      </c>
    </row>
    <row r="13" spans="1:11" ht="45" customHeight="1" x14ac:dyDescent="0.3">
      <c r="A13" s="11" t="s">
        <v>39</v>
      </c>
      <c r="B13" s="11" t="s">
        <v>187</v>
      </c>
      <c r="C13" s="11" t="s">
        <v>188</v>
      </c>
      <c r="D13" s="11" t="s">
        <v>189</v>
      </c>
      <c r="E13" s="11" t="s">
        <v>190</v>
      </c>
      <c r="F13" s="11" t="s">
        <v>15</v>
      </c>
      <c r="G13" s="11" t="s">
        <v>191</v>
      </c>
      <c r="H13" s="11" t="s">
        <v>192</v>
      </c>
      <c r="I13" s="15" t="s">
        <v>191</v>
      </c>
      <c r="J13" s="16" t="s">
        <v>8</v>
      </c>
      <c r="K13" s="11" t="s">
        <v>11</v>
      </c>
    </row>
    <row r="14" spans="1:11" ht="45" customHeight="1" x14ac:dyDescent="0.3">
      <c r="A14" s="11" t="s">
        <v>47</v>
      </c>
      <c r="B14" s="11" t="s">
        <v>193</v>
      </c>
      <c r="C14" s="11" t="s">
        <v>194</v>
      </c>
      <c r="D14" s="11" t="s">
        <v>195</v>
      </c>
      <c r="E14" s="11" t="s">
        <v>196</v>
      </c>
      <c r="F14" s="11" t="s">
        <v>15</v>
      </c>
      <c r="G14" s="11" t="s">
        <v>197</v>
      </c>
      <c r="H14" s="11" t="s">
        <v>198</v>
      </c>
      <c r="I14" s="15" t="s">
        <v>197</v>
      </c>
      <c r="J14" s="16" t="s">
        <v>8</v>
      </c>
      <c r="K14" s="11" t="s">
        <v>14</v>
      </c>
    </row>
    <row r="15" spans="1:11" ht="45" customHeight="1" x14ac:dyDescent="0.3">
      <c r="A15" s="11" t="s">
        <v>54</v>
      </c>
      <c r="B15" s="11" t="s">
        <v>199</v>
      </c>
      <c r="C15" s="11" t="s">
        <v>200</v>
      </c>
      <c r="D15" s="11" t="s">
        <v>201</v>
      </c>
      <c r="E15" s="11" t="s">
        <v>202</v>
      </c>
      <c r="F15" s="11" t="s">
        <v>15</v>
      </c>
      <c r="G15" s="11" t="s">
        <v>203</v>
      </c>
      <c r="H15" s="11" t="s">
        <v>204</v>
      </c>
      <c r="I15" s="15" t="s">
        <v>203</v>
      </c>
      <c r="J15" s="16" t="s">
        <v>8</v>
      </c>
      <c r="K15" s="11" t="s">
        <v>17</v>
      </c>
    </row>
    <row r="16" spans="1:11" ht="45" customHeight="1" x14ac:dyDescent="0.3">
      <c r="A16" s="11" t="s">
        <v>60</v>
      </c>
      <c r="B16" s="11" t="s">
        <v>205</v>
      </c>
      <c r="C16" s="11" t="s">
        <v>206</v>
      </c>
      <c r="D16" s="11" t="s">
        <v>189</v>
      </c>
      <c r="E16" s="11" t="s">
        <v>207</v>
      </c>
      <c r="F16" s="11" t="s">
        <v>15</v>
      </c>
      <c r="G16" s="11" t="s">
        <v>208</v>
      </c>
      <c r="H16" s="11" t="s">
        <v>209</v>
      </c>
      <c r="I16" s="15" t="s">
        <v>208</v>
      </c>
      <c r="J16" s="16" t="s">
        <v>8</v>
      </c>
      <c r="K16" s="11" t="s">
        <v>7</v>
      </c>
    </row>
    <row r="17" spans="1:11" ht="45" customHeight="1" x14ac:dyDescent="0.3">
      <c r="A17" s="11" t="s">
        <v>66</v>
      </c>
      <c r="B17" s="11" t="s">
        <v>210</v>
      </c>
      <c r="C17" s="11" t="s">
        <v>211</v>
      </c>
      <c r="D17" s="11" t="s">
        <v>195</v>
      </c>
      <c r="E17" s="11" t="s">
        <v>212</v>
      </c>
      <c r="F17" s="11" t="s">
        <v>15</v>
      </c>
      <c r="G17" s="11" t="s">
        <v>213</v>
      </c>
      <c r="H17" s="11" t="s">
        <v>214</v>
      </c>
      <c r="I17" s="15" t="s">
        <v>213</v>
      </c>
      <c r="J17" s="16" t="s">
        <v>8</v>
      </c>
      <c r="K17" s="11" t="s">
        <v>11</v>
      </c>
    </row>
    <row r="18" spans="1:11" ht="45" customHeight="1" x14ac:dyDescent="0.3">
      <c r="A18" s="11" t="s">
        <v>72</v>
      </c>
      <c r="B18" s="11" t="s">
        <v>215</v>
      </c>
      <c r="C18" s="11" t="s">
        <v>216</v>
      </c>
      <c r="D18" s="11" t="s">
        <v>189</v>
      </c>
      <c r="E18" s="11" t="s">
        <v>217</v>
      </c>
      <c r="F18" s="11" t="s">
        <v>15</v>
      </c>
      <c r="G18" s="11" t="s">
        <v>218</v>
      </c>
      <c r="H18" s="11" t="s">
        <v>219</v>
      </c>
      <c r="I18" s="15" t="s">
        <v>218</v>
      </c>
      <c r="J18" s="16" t="s">
        <v>8</v>
      </c>
      <c r="K18" s="11" t="s">
        <v>14</v>
      </c>
    </row>
    <row r="19" spans="1:11" ht="18" customHeight="1" x14ac:dyDescent="0.3">
      <c r="A19" s="10" t="s">
        <v>77</v>
      </c>
    </row>
    <row r="20" spans="1:11" ht="45" customHeight="1" x14ac:dyDescent="0.3">
      <c r="A20" s="11" t="s">
        <v>78</v>
      </c>
      <c r="B20" s="11" t="s">
        <v>220</v>
      </c>
      <c r="C20" s="11" t="s">
        <v>221</v>
      </c>
      <c r="D20" s="11" t="s">
        <v>222</v>
      </c>
      <c r="E20" s="11" t="s">
        <v>223</v>
      </c>
      <c r="F20" s="11" t="s">
        <v>15</v>
      </c>
      <c r="G20" s="11" t="s">
        <v>224</v>
      </c>
      <c r="H20" s="11" t="s">
        <v>225</v>
      </c>
      <c r="I20" s="15" t="s">
        <v>224</v>
      </c>
      <c r="J20" s="16" t="s">
        <v>8</v>
      </c>
      <c r="K20" s="11" t="s">
        <v>7</v>
      </c>
    </row>
    <row r="21" spans="1:11" ht="45" customHeight="1" x14ac:dyDescent="0.3">
      <c r="A21" s="11" t="s">
        <v>85</v>
      </c>
      <c r="B21" s="11" t="s">
        <v>226</v>
      </c>
      <c r="C21" s="11" t="s">
        <v>227</v>
      </c>
      <c r="D21" s="11" t="s">
        <v>189</v>
      </c>
      <c r="E21" s="11" t="s">
        <v>228</v>
      </c>
      <c r="F21" s="11" t="s">
        <v>15</v>
      </c>
      <c r="G21" s="11" t="s">
        <v>229</v>
      </c>
      <c r="H21" s="11" t="s">
        <v>230</v>
      </c>
      <c r="I21" s="15" t="s">
        <v>229</v>
      </c>
      <c r="J21" s="16" t="s">
        <v>8</v>
      </c>
      <c r="K21" s="11" t="s">
        <v>11</v>
      </c>
    </row>
    <row r="22" spans="1:11" ht="45" customHeight="1" x14ac:dyDescent="0.3">
      <c r="A22" s="11" t="s">
        <v>93</v>
      </c>
      <c r="B22" s="11" t="s">
        <v>231</v>
      </c>
      <c r="C22" s="11" t="s">
        <v>232</v>
      </c>
      <c r="D22" s="11" t="s">
        <v>189</v>
      </c>
      <c r="E22" s="11" t="s">
        <v>233</v>
      </c>
      <c r="F22" s="11" t="s">
        <v>15</v>
      </c>
      <c r="G22" s="11" t="s">
        <v>234</v>
      </c>
      <c r="H22" s="11" t="s">
        <v>235</v>
      </c>
      <c r="I22" s="15" t="s">
        <v>234</v>
      </c>
      <c r="J22" s="16" t="s">
        <v>8</v>
      </c>
      <c r="K22" s="11" t="s">
        <v>14</v>
      </c>
    </row>
    <row r="23" spans="1:11" ht="45" customHeight="1" x14ac:dyDescent="0.3">
      <c r="A23" s="11" t="s">
        <v>100</v>
      </c>
      <c r="B23" s="11" t="s">
        <v>236</v>
      </c>
      <c r="C23" s="11" t="s">
        <v>237</v>
      </c>
      <c r="D23" s="11" t="s">
        <v>238</v>
      </c>
      <c r="E23" s="11" t="s">
        <v>239</v>
      </c>
      <c r="F23" s="11" t="s">
        <v>15</v>
      </c>
      <c r="G23" s="11" t="s">
        <v>240</v>
      </c>
      <c r="H23" s="11" t="s">
        <v>241</v>
      </c>
      <c r="I23" s="15" t="s">
        <v>240</v>
      </c>
      <c r="J23" s="16" t="s">
        <v>8</v>
      </c>
      <c r="K23" s="11" t="s">
        <v>17</v>
      </c>
    </row>
    <row r="24" spans="1:11" ht="45" customHeight="1" x14ac:dyDescent="0.3">
      <c r="A24" s="11" t="s">
        <v>106</v>
      </c>
      <c r="B24" s="11" t="s">
        <v>242</v>
      </c>
      <c r="C24" s="11" t="s">
        <v>243</v>
      </c>
      <c r="D24" s="11" t="s">
        <v>189</v>
      </c>
      <c r="E24" s="11" t="s">
        <v>244</v>
      </c>
      <c r="F24" s="11" t="s">
        <v>15</v>
      </c>
      <c r="G24" s="11" t="s">
        <v>245</v>
      </c>
      <c r="H24" s="11" t="s">
        <v>246</v>
      </c>
      <c r="I24" s="15" t="s">
        <v>245</v>
      </c>
      <c r="J24" s="16" t="s">
        <v>8</v>
      </c>
      <c r="K24" s="1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3"/>
  <sheetViews>
    <sheetView topLeftCell="A15" workbookViewId="0">
      <selection activeCell="C8" sqref="C8"/>
    </sheetView>
  </sheetViews>
  <sheetFormatPr defaultRowHeight="14.4" x14ac:dyDescent="0.3"/>
  <cols>
    <col min="1" max="1" width="28" customWidth="1"/>
    <col min="2" max="2" width="30.6640625" customWidth="1"/>
    <col min="3" max="3" width="38" customWidth="1"/>
    <col min="4" max="4" width="28" customWidth="1"/>
    <col min="5" max="5" width="38" customWidth="1"/>
    <col min="6" max="6" width="28" customWidth="1"/>
    <col min="7" max="7" width="38" customWidth="1"/>
    <col min="8" max="8" width="28" customWidth="1"/>
    <col min="9" max="9" width="38" customWidth="1"/>
    <col min="10" max="10" width="10" customWidth="1"/>
    <col min="11" max="11" width="12" customWidth="1"/>
  </cols>
  <sheetData>
    <row r="1" spans="1:11" x14ac:dyDescent="0.3">
      <c r="A1" s="1" t="s">
        <v>0</v>
      </c>
      <c r="G1" s="2" t="s">
        <v>1</v>
      </c>
    </row>
    <row r="2" spans="1:11" x14ac:dyDescent="0.3">
      <c r="G2" s="3" t="s">
        <v>2</v>
      </c>
      <c r="H2" s="4" t="s">
        <v>3</v>
      </c>
      <c r="I2" s="3" t="s">
        <v>4</v>
      </c>
      <c r="J2" s="4" t="s">
        <v>3</v>
      </c>
    </row>
    <row r="3" spans="1:11" x14ac:dyDescent="0.3">
      <c r="A3" s="5" t="s">
        <v>5</v>
      </c>
      <c r="B3" s="6" t="s">
        <v>6</v>
      </c>
      <c r="G3" s="13" t="s">
        <v>7</v>
      </c>
      <c r="H3" s="14">
        <f>COUNTIF(K12:K23,"High")</f>
        <v>4</v>
      </c>
      <c r="I3" s="13" t="s">
        <v>8</v>
      </c>
      <c r="J3" s="14">
        <f>COUNTIF(J12:J23,"Pass")</f>
        <v>11</v>
      </c>
    </row>
    <row r="4" spans="1:11" x14ac:dyDescent="0.3">
      <c r="A4" s="5" t="s">
        <v>9</v>
      </c>
      <c r="B4" s="6" t="s">
        <v>247</v>
      </c>
      <c r="G4" s="13" t="s">
        <v>11</v>
      </c>
      <c r="H4" s="14">
        <f>COUNTIF(K12:K23,"Medium")</f>
        <v>3</v>
      </c>
      <c r="I4" s="13" t="s">
        <v>12</v>
      </c>
      <c r="J4" s="14">
        <f>COUNTIF(J12:J23,"Fail")</f>
        <v>0</v>
      </c>
    </row>
    <row r="5" spans="1:11" ht="28.8" x14ac:dyDescent="0.3">
      <c r="A5" s="5" t="s">
        <v>13</v>
      </c>
      <c r="B5" s="17" t="s">
        <v>428</v>
      </c>
      <c r="G5" s="13" t="s">
        <v>14</v>
      </c>
      <c r="H5" s="14">
        <f>COUNTIF(K12:K23,"Low")</f>
        <v>2</v>
      </c>
      <c r="I5" s="13" t="s">
        <v>15</v>
      </c>
      <c r="J5" s="14">
        <f>COUNTIF(J12:J23,"N/A")</f>
        <v>0</v>
      </c>
    </row>
    <row r="6" spans="1:11" x14ac:dyDescent="0.3">
      <c r="A6" s="5" t="s">
        <v>16</v>
      </c>
      <c r="B6" s="6" t="s">
        <v>426</v>
      </c>
      <c r="G6" s="13" t="s">
        <v>17</v>
      </c>
      <c r="H6" s="14">
        <f>COUNTIF(K12:K23,"Critical")</f>
        <v>2</v>
      </c>
      <c r="I6" s="13" t="s">
        <v>15</v>
      </c>
      <c r="J6" s="14">
        <f>COUNTIF(J12:J23,"N/A")</f>
        <v>0</v>
      </c>
    </row>
    <row r="7" spans="1:11" x14ac:dyDescent="0.3">
      <c r="A7" s="5" t="s">
        <v>18</v>
      </c>
      <c r="B7" s="12">
        <v>46115</v>
      </c>
    </row>
    <row r="8" spans="1:11" x14ac:dyDescent="0.3">
      <c r="A8" s="5" t="s">
        <v>19</v>
      </c>
      <c r="B8" s="12">
        <v>46142</v>
      </c>
    </row>
    <row r="9" spans="1:11" x14ac:dyDescent="0.3">
      <c r="A9" s="7" t="s">
        <v>20</v>
      </c>
      <c r="B9" s="8" t="s">
        <v>21</v>
      </c>
    </row>
    <row r="10" spans="1:11" ht="22.05" customHeight="1" x14ac:dyDescent="0.3">
      <c r="A10" s="9" t="s">
        <v>22</v>
      </c>
      <c r="B10" s="9" t="s">
        <v>23</v>
      </c>
      <c r="C10" s="9" t="s">
        <v>0</v>
      </c>
      <c r="D10" s="9" t="s">
        <v>24</v>
      </c>
      <c r="E10" s="9" t="s">
        <v>25</v>
      </c>
      <c r="F10" s="9" t="s">
        <v>26</v>
      </c>
      <c r="G10" s="9" t="s">
        <v>27</v>
      </c>
      <c r="H10" s="9" t="s">
        <v>28</v>
      </c>
      <c r="I10" s="9" t="s">
        <v>29</v>
      </c>
      <c r="J10" s="9" t="s">
        <v>4</v>
      </c>
      <c r="K10" s="9" t="s">
        <v>30</v>
      </c>
    </row>
    <row r="11" spans="1:11" ht="18" customHeight="1" x14ac:dyDescent="0.3">
      <c r="A11" s="10" t="s">
        <v>31</v>
      </c>
    </row>
    <row r="12" spans="1:11" ht="45" customHeight="1" x14ac:dyDescent="0.3">
      <c r="A12" s="11" t="s">
        <v>32</v>
      </c>
      <c r="B12" s="11" t="s">
        <v>248</v>
      </c>
      <c r="C12" s="11" t="s">
        <v>249</v>
      </c>
      <c r="D12" s="11" t="s">
        <v>250</v>
      </c>
      <c r="E12" s="11" t="s">
        <v>251</v>
      </c>
      <c r="F12" s="11" t="s">
        <v>15</v>
      </c>
      <c r="G12" s="11" t="s">
        <v>252</v>
      </c>
      <c r="H12" s="11" t="s">
        <v>253</v>
      </c>
      <c r="I12" s="15" t="s">
        <v>252</v>
      </c>
      <c r="J12" s="16" t="s">
        <v>8</v>
      </c>
      <c r="K12" s="11" t="s">
        <v>7</v>
      </c>
    </row>
    <row r="13" spans="1:11" ht="45" customHeight="1" x14ac:dyDescent="0.3">
      <c r="A13" s="11" t="s">
        <v>39</v>
      </c>
      <c r="B13" s="11" t="s">
        <v>254</v>
      </c>
      <c r="C13" s="11" t="s">
        <v>255</v>
      </c>
      <c r="D13" s="11" t="s">
        <v>256</v>
      </c>
      <c r="E13" s="11" t="s">
        <v>257</v>
      </c>
      <c r="F13" s="11" t="s">
        <v>15</v>
      </c>
      <c r="G13" s="11" t="s">
        <v>258</v>
      </c>
      <c r="H13" s="11" t="s">
        <v>259</v>
      </c>
      <c r="I13" s="15" t="s">
        <v>258</v>
      </c>
      <c r="J13" s="16" t="s">
        <v>8</v>
      </c>
      <c r="K13" s="11" t="s">
        <v>11</v>
      </c>
    </row>
    <row r="14" spans="1:11" ht="45" customHeight="1" x14ac:dyDescent="0.3">
      <c r="A14" s="11" t="s">
        <v>47</v>
      </c>
      <c r="B14" s="11" t="s">
        <v>260</v>
      </c>
      <c r="C14" s="11" t="s">
        <v>261</v>
      </c>
      <c r="D14" s="11" t="s">
        <v>256</v>
      </c>
      <c r="E14" s="11" t="s">
        <v>262</v>
      </c>
      <c r="F14" s="11" t="s">
        <v>15</v>
      </c>
      <c r="G14" s="11" t="s">
        <v>263</v>
      </c>
      <c r="H14" s="11" t="s">
        <v>264</v>
      </c>
      <c r="I14" s="15" t="s">
        <v>263</v>
      </c>
      <c r="J14" s="16" t="s">
        <v>8</v>
      </c>
      <c r="K14" s="11" t="s">
        <v>14</v>
      </c>
    </row>
    <row r="15" spans="1:11" ht="45" customHeight="1" x14ac:dyDescent="0.3">
      <c r="A15" s="11" t="s">
        <v>54</v>
      </c>
      <c r="B15" s="11" t="s">
        <v>265</v>
      </c>
      <c r="C15" s="11" t="s">
        <v>266</v>
      </c>
      <c r="D15" s="11" t="s">
        <v>267</v>
      </c>
      <c r="E15" s="11" t="s">
        <v>268</v>
      </c>
      <c r="F15" s="11" t="s">
        <v>15</v>
      </c>
      <c r="G15" s="11" t="s">
        <v>269</v>
      </c>
      <c r="H15" s="11" t="s">
        <v>270</v>
      </c>
      <c r="I15" s="15" t="s">
        <v>269</v>
      </c>
      <c r="J15" s="16" t="s">
        <v>8</v>
      </c>
      <c r="K15" s="11" t="s">
        <v>17</v>
      </c>
    </row>
    <row r="16" spans="1:11" ht="45" customHeight="1" x14ac:dyDescent="0.3">
      <c r="A16" s="11" t="s">
        <v>60</v>
      </c>
      <c r="B16" s="11" t="s">
        <v>271</v>
      </c>
      <c r="C16" s="11" t="s">
        <v>272</v>
      </c>
      <c r="D16" s="11" t="s">
        <v>273</v>
      </c>
      <c r="E16" s="11" t="s">
        <v>274</v>
      </c>
      <c r="F16" s="11" t="s">
        <v>15</v>
      </c>
      <c r="G16" s="11" t="s">
        <v>275</v>
      </c>
      <c r="H16" s="11" t="s">
        <v>276</v>
      </c>
      <c r="I16" s="15" t="s">
        <v>275</v>
      </c>
      <c r="J16" s="16" t="s">
        <v>8</v>
      </c>
      <c r="K16" s="11" t="s">
        <v>7</v>
      </c>
    </row>
    <row r="17" spans="1:11" ht="45" customHeight="1" x14ac:dyDescent="0.3">
      <c r="A17" s="11" t="s">
        <v>66</v>
      </c>
      <c r="B17" s="11" t="s">
        <v>277</v>
      </c>
      <c r="C17" s="11" t="s">
        <v>278</v>
      </c>
      <c r="D17" s="11" t="s">
        <v>279</v>
      </c>
      <c r="E17" s="11" t="s">
        <v>280</v>
      </c>
      <c r="F17" s="11" t="s">
        <v>15</v>
      </c>
      <c r="G17" s="11" t="s">
        <v>281</v>
      </c>
      <c r="H17" s="11" t="s">
        <v>282</v>
      </c>
      <c r="I17" s="15" t="s">
        <v>281</v>
      </c>
      <c r="J17" s="16" t="s">
        <v>8</v>
      </c>
      <c r="K17" s="11" t="s">
        <v>11</v>
      </c>
    </row>
    <row r="18" spans="1:11" ht="18" customHeight="1" x14ac:dyDescent="0.3">
      <c r="A18" s="10" t="s">
        <v>77</v>
      </c>
    </row>
    <row r="19" spans="1:11" ht="45" customHeight="1" x14ac:dyDescent="0.3">
      <c r="A19" s="11" t="s">
        <v>72</v>
      </c>
      <c r="B19" s="11" t="s">
        <v>283</v>
      </c>
      <c r="C19" s="11" t="s">
        <v>284</v>
      </c>
      <c r="D19" s="11" t="s">
        <v>250</v>
      </c>
      <c r="E19" s="11" t="s">
        <v>285</v>
      </c>
      <c r="F19" s="11" t="s">
        <v>15</v>
      </c>
      <c r="G19" s="11" t="s">
        <v>286</v>
      </c>
      <c r="H19" s="11" t="s">
        <v>287</v>
      </c>
      <c r="I19" s="15" t="s">
        <v>286</v>
      </c>
      <c r="J19" s="16" t="s">
        <v>8</v>
      </c>
      <c r="K19" s="11" t="s">
        <v>7</v>
      </c>
    </row>
    <row r="20" spans="1:11" ht="45" customHeight="1" x14ac:dyDescent="0.3">
      <c r="A20" s="11" t="s">
        <v>78</v>
      </c>
      <c r="B20" s="11" t="s">
        <v>288</v>
      </c>
      <c r="C20" s="11" t="s">
        <v>289</v>
      </c>
      <c r="D20" s="11" t="s">
        <v>290</v>
      </c>
      <c r="E20" s="11" t="s">
        <v>291</v>
      </c>
      <c r="F20" s="11" t="s">
        <v>15</v>
      </c>
      <c r="G20" s="11" t="s">
        <v>292</v>
      </c>
      <c r="H20" s="11" t="s">
        <v>293</v>
      </c>
      <c r="I20" s="15" t="s">
        <v>292</v>
      </c>
      <c r="J20" s="16" t="s">
        <v>8</v>
      </c>
      <c r="K20" s="11" t="s">
        <v>11</v>
      </c>
    </row>
    <row r="21" spans="1:11" ht="45" customHeight="1" x14ac:dyDescent="0.3">
      <c r="A21" s="11" t="s">
        <v>85</v>
      </c>
      <c r="B21" s="11" t="s">
        <v>294</v>
      </c>
      <c r="C21" s="11" t="s">
        <v>295</v>
      </c>
      <c r="D21" s="11" t="s">
        <v>296</v>
      </c>
      <c r="E21" s="11" t="s">
        <v>297</v>
      </c>
      <c r="F21" s="11" t="s">
        <v>15</v>
      </c>
      <c r="G21" s="11" t="s">
        <v>298</v>
      </c>
      <c r="H21" s="11" t="s">
        <v>299</v>
      </c>
      <c r="I21" s="15" t="s">
        <v>298</v>
      </c>
      <c r="J21" s="16" t="s">
        <v>8</v>
      </c>
      <c r="K21" s="11" t="s">
        <v>14</v>
      </c>
    </row>
    <row r="22" spans="1:11" ht="45" customHeight="1" x14ac:dyDescent="0.3">
      <c r="A22" s="11" t="s">
        <v>93</v>
      </c>
      <c r="B22" s="11" t="s">
        <v>300</v>
      </c>
      <c r="C22" s="11" t="s">
        <v>301</v>
      </c>
      <c r="D22" s="11" t="s">
        <v>302</v>
      </c>
      <c r="E22" s="11" t="s">
        <v>303</v>
      </c>
      <c r="F22" s="11" t="s">
        <v>15</v>
      </c>
      <c r="G22" s="11" t="s">
        <v>304</v>
      </c>
      <c r="H22" s="11" t="s">
        <v>305</v>
      </c>
      <c r="I22" s="15" t="s">
        <v>304</v>
      </c>
      <c r="J22" s="16" t="s">
        <v>8</v>
      </c>
      <c r="K22" s="11" t="s">
        <v>17</v>
      </c>
    </row>
    <row r="23" spans="1:11" ht="45" customHeight="1" x14ac:dyDescent="0.3">
      <c r="A23" s="11" t="s">
        <v>100</v>
      </c>
      <c r="B23" s="11" t="s">
        <v>306</v>
      </c>
      <c r="C23" s="11" t="s">
        <v>307</v>
      </c>
      <c r="D23" s="11" t="s">
        <v>256</v>
      </c>
      <c r="E23" s="11" t="s">
        <v>308</v>
      </c>
      <c r="F23" s="11" t="s">
        <v>15</v>
      </c>
      <c r="G23" s="11" t="s">
        <v>309</v>
      </c>
      <c r="H23" s="11" t="s">
        <v>310</v>
      </c>
      <c r="I23" s="15" t="s">
        <v>309</v>
      </c>
      <c r="J23" s="16" t="s">
        <v>8</v>
      </c>
      <c r="K23" s="11" t="s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3"/>
  <sheetViews>
    <sheetView topLeftCell="A2" workbookViewId="0">
      <selection activeCell="C8" sqref="C7:C8"/>
    </sheetView>
  </sheetViews>
  <sheetFormatPr defaultRowHeight="14.4" x14ac:dyDescent="0.3"/>
  <cols>
    <col min="1" max="1" width="28" customWidth="1"/>
    <col min="2" max="2" width="31.21875" customWidth="1"/>
    <col min="3" max="3" width="38" customWidth="1"/>
    <col min="4" max="4" width="28" customWidth="1"/>
    <col min="5" max="5" width="38" customWidth="1"/>
    <col min="6" max="6" width="28" customWidth="1"/>
    <col min="7" max="7" width="38" customWidth="1"/>
    <col min="8" max="8" width="28" customWidth="1"/>
    <col min="9" max="9" width="38" customWidth="1"/>
    <col min="10" max="10" width="10" customWidth="1"/>
    <col min="11" max="11" width="12" customWidth="1"/>
  </cols>
  <sheetData>
    <row r="1" spans="1:11" x14ac:dyDescent="0.3">
      <c r="A1" s="1" t="s">
        <v>0</v>
      </c>
      <c r="G1" s="2" t="s">
        <v>1</v>
      </c>
    </row>
    <row r="2" spans="1:11" x14ac:dyDescent="0.3">
      <c r="G2" s="3" t="s">
        <v>2</v>
      </c>
      <c r="H2" s="4" t="s">
        <v>3</v>
      </c>
      <c r="I2" s="3" t="s">
        <v>4</v>
      </c>
      <c r="J2" s="4" t="s">
        <v>3</v>
      </c>
    </row>
    <row r="3" spans="1:11" x14ac:dyDescent="0.3">
      <c r="A3" s="5" t="s">
        <v>5</v>
      </c>
      <c r="B3" s="6" t="s">
        <v>6</v>
      </c>
      <c r="G3" s="13" t="s">
        <v>7</v>
      </c>
      <c r="H3" s="14">
        <f>COUNTIF(K12:K23,"High")</f>
        <v>4</v>
      </c>
      <c r="I3" s="13" t="s">
        <v>8</v>
      </c>
      <c r="J3" s="14">
        <f>COUNTIF(J12:J23,"Pass")</f>
        <v>11</v>
      </c>
    </row>
    <row r="4" spans="1:11" x14ac:dyDescent="0.3">
      <c r="A4" s="5" t="s">
        <v>9</v>
      </c>
      <c r="B4" s="6" t="s">
        <v>311</v>
      </c>
      <c r="G4" s="13" t="s">
        <v>11</v>
      </c>
      <c r="H4" s="14">
        <f>COUNTIF(K12:K23,"Medium")</f>
        <v>3</v>
      </c>
      <c r="I4" s="13" t="s">
        <v>12</v>
      </c>
      <c r="J4" s="14">
        <f>COUNTIF(J12:J23,"Fail")</f>
        <v>0</v>
      </c>
    </row>
    <row r="5" spans="1:11" ht="28.8" x14ac:dyDescent="0.3">
      <c r="A5" s="5" t="s">
        <v>13</v>
      </c>
      <c r="B5" s="17" t="s">
        <v>428</v>
      </c>
      <c r="G5" s="13" t="s">
        <v>14</v>
      </c>
      <c r="H5" s="14">
        <f>COUNTIF(K12:K23,"Low")</f>
        <v>2</v>
      </c>
      <c r="I5" s="13" t="s">
        <v>15</v>
      </c>
      <c r="J5" s="14">
        <f>COUNTIF(J12:J23,"N/A")</f>
        <v>0</v>
      </c>
    </row>
    <row r="6" spans="1:11" x14ac:dyDescent="0.3">
      <c r="A6" s="5" t="s">
        <v>16</v>
      </c>
      <c r="B6" s="6" t="s">
        <v>426</v>
      </c>
      <c r="G6" s="13" t="s">
        <v>17</v>
      </c>
      <c r="H6" s="14">
        <f>COUNTIF(K12:K23,"Critical")</f>
        <v>2</v>
      </c>
      <c r="I6" s="13" t="s">
        <v>15</v>
      </c>
      <c r="J6" s="14">
        <f>COUNTIF(J12:J23,"N/A")</f>
        <v>0</v>
      </c>
    </row>
    <row r="7" spans="1:11" x14ac:dyDescent="0.3">
      <c r="A7" s="5" t="s">
        <v>18</v>
      </c>
      <c r="B7" s="12">
        <v>46115</v>
      </c>
    </row>
    <row r="8" spans="1:11" x14ac:dyDescent="0.3">
      <c r="A8" s="5" t="s">
        <v>19</v>
      </c>
      <c r="B8" s="12">
        <v>46142</v>
      </c>
    </row>
    <row r="9" spans="1:11" x14ac:dyDescent="0.3">
      <c r="A9" s="7" t="s">
        <v>20</v>
      </c>
      <c r="B9" s="8" t="s">
        <v>21</v>
      </c>
    </row>
    <row r="10" spans="1:11" ht="22.05" customHeight="1" x14ac:dyDescent="0.3">
      <c r="A10" s="9" t="s">
        <v>22</v>
      </c>
      <c r="B10" s="9" t="s">
        <v>23</v>
      </c>
      <c r="C10" s="9" t="s">
        <v>0</v>
      </c>
      <c r="D10" s="9" t="s">
        <v>24</v>
      </c>
      <c r="E10" s="9" t="s">
        <v>25</v>
      </c>
      <c r="F10" s="9" t="s">
        <v>26</v>
      </c>
      <c r="G10" s="9" t="s">
        <v>27</v>
      </c>
      <c r="H10" s="9" t="s">
        <v>28</v>
      </c>
      <c r="I10" s="9" t="s">
        <v>29</v>
      </c>
      <c r="J10" s="9" t="s">
        <v>4</v>
      </c>
      <c r="K10" s="9" t="s">
        <v>30</v>
      </c>
    </row>
    <row r="11" spans="1:11" ht="18" customHeight="1" x14ac:dyDescent="0.3">
      <c r="A11" s="10" t="s">
        <v>31</v>
      </c>
    </row>
    <row r="12" spans="1:11" ht="45" customHeight="1" x14ac:dyDescent="0.3">
      <c r="A12" s="11" t="s">
        <v>32</v>
      </c>
      <c r="B12" s="11" t="s">
        <v>312</v>
      </c>
      <c r="C12" s="11" t="s">
        <v>313</v>
      </c>
      <c r="D12" s="11" t="s">
        <v>314</v>
      </c>
      <c r="E12" s="11" t="s">
        <v>315</v>
      </c>
      <c r="F12" s="11" t="s">
        <v>316</v>
      </c>
      <c r="G12" s="11" t="s">
        <v>317</v>
      </c>
      <c r="H12" s="11" t="s">
        <v>318</v>
      </c>
      <c r="I12" s="15" t="s">
        <v>317</v>
      </c>
      <c r="J12" s="16" t="s">
        <v>8</v>
      </c>
      <c r="K12" s="11" t="s">
        <v>7</v>
      </c>
    </row>
    <row r="13" spans="1:11" ht="45" customHeight="1" x14ac:dyDescent="0.3">
      <c r="A13" s="11" t="s">
        <v>39</v>
      </c>
      <c r="B13" s="11" t="s">
        <v>319</v>
      </c>
      <c r="C13" s="11" t="s">
        <v>320</v>
      </c>
      <c r="D13" s="11" t="s">
        <v>321</v>
      </c>
      <c r="E13" s="11" t="s">
        <v>322</v>
      </c>
      <c r="F13" s="11" t="s">
        <v>323</v>
      </c>
      <c r="G13" s="11" t="s">
        <v>324</v>
      </c>
      <c r="H13" s="11" t="s">
        <v>325</v>
      </c>
      <c r="I13" s="15" t="s">
        <v>324</v>
      </c>
      <c r="J13" s="16" t="s">
        <v>8</v>
      </c>
      <c r="K13" s="11" t="s">
        <v>11</v>
      </c>
    </row>
    <row r="14" spans="1:11" ht="45" customHeight="1" x14ac:dyDescent="0.3">
      <c r="A14" s="11" t="s">
        <v>47</v>
      </c>
      <c r="B14" s="11" t="s">
        <v>326</v>
      </c>
      <c r="C14" s="11" t="s">
        <v>327</v>
      </c>
      <c r="D14" s="11" t="s">
        <v>328</v>
      </c>
      <c r="E14" s="11" t="s">
        <v>329</v>
      </c>
      <c r="F14" s="11" t="s">
        <v>330</v>
      </c>
      <c r="G14" s="11" t="s">
        <v>331</v>
      </c>
      <c r="H14" s="11" t="s">
        <v>332</v>
      </c>
      <c r="I14" s="15" t="s">
        <v>331</v>
      </c>
      <c r="J14" s="16" t="s">
        <v>8</v>
      </c>
      <c r="K14" s="11" t="s">
        <v>14</v>
      </c>
    </row>
    <row r="15" spans="1:11" ht="45" customHeight="1" x14ac:dyDescent="0.3">
      <c r="A15" s="11" t="s">
        <v>54</v>
      </c>
      <c r="B15" s="11" t="s">
        <v>333</v>
      </c>
      <c r="C15" s="11" t="s">
        <v>334</v>
      </c>
      <c r="D15" s="11" t="s">
        <v>335</v>
      </c>
      <c r="E15" s="11" t="s">
        <v>336</v>
      </c>
      <c r="F15" s="11" t="s">
        <v>15</v>
      </c>
      <c r="G15" s="11" t="s">
        <v>337</v>
      </c>
      <c r="H15" s="11" t="s">
        <v>338</v>
      </c>
      <c r="I15" s="15" t="s">
        <v>337</v>
      </c>
      <c r="J15" s="16" t="s">
        <v>8</v>
      </c>
      <c r="K15" s="11" t="s">
        <v>17</v>
      </c>
    </row>
    <row r="16" spans="1:11" ht="45" customHeight="1" x14ac:dyDescent="0.3">
      <c r="A16" s="11" t="s">
        <v>60</v>
      </c>
      <c r="B16" s="11" t="s">
        <v>339</v>
      </c>
      <c r="C16" s="11" t="s">
        <v>340</v>
      </c>
      <c r="D16" s="11" t="s">
        <v>341</v>
      </c>
      <c r="E16" s="11" t="s">
        <v>342</v>
      </c>
      <c r="F16" s="11" t="s">
        <v>15</v>
      </c>
      <c r="G16" s="11" t="s">
        <v>343</v>
      </c>
      <c r="H16" s="11" t="s">
        <v>344</v>
      </c>
      <c r="I16" s="15" t="s">
        <v>343</v>
      </c>
      <c r="J16" s="16" t="s">
        <v>8</v>
      </c>
      <c r="K16" s="11" t="s">
        <v>7</v>
      </c>
    </row>
    <row r="17" spans="1:11" ht="45" customHeight="1" x14ac:dyDescent="0.3">
      <c r="A17" s="11" t="s">
        <v>66</v>
      </c>
      <c r="B17" s="11" t="s">
        <v>345</v>
      </c>
      <c r="C17" s="11" t="s">
        <v>346</v>
      </c>
      <c r="D17" s="11" t="s">
        <v>347</v>
      </c>
      <c r="E17" s="11" t="s">
        <v>348</v>
      </c>
      <c r="F17" s="11" t="s">
        <v>15</v>
      </c>
      <c r="G17" s="11" t="s">
        <v>349</v>
      </c>
      <c r="H17" s="11" t="s">
        <v>350</v>
      </c>
      <c r="I17" s="15" t="s">
        <v>349</v>
      </c>
      <c r="J17" s="16" t="s">
        <v>8</v>
      </c>
      <c r="K17" s="11" t="s">
        <v>11</v>
      </c>
    </row>
    <row r="18" spans="1:11" ht="18" customHeight="1" x14ac:dyDescent="0.3">
      <c r="A18" s="10" t="s">
        <v>77</v>
      </c>
    </row>
    <row r="19" spans="1:11" ht="45" customHeight="1" x14ac:dyDescent="0.3">
      <c r="A19" s="11" t="s">
        <v>72</v>
      </c>
      <c r="B19" s="11" t="s">
        <v>351</v>
      </c>
      <c r="C19" s="11" t="s">
        <v>352</v>
      </c>
      <c r="D19" s="11" t="s">
        <v>321</v>
      </c>
      <c r="E19" s="11" t="s">
        <v>353</v>
      </c>
      <c r="F19" s="11" t="s">
        <v>15</v>
      </c>
      <c r="G19" s="11" t="s">
        <v>354</v>
      </c>
      <c r="H19" s="11" t="s">
        <v>355</v>
      </c>
      <c r="I19" s="15" t="s">
        <v>354</v>
      </c>
      <c r="J19" s="16" t="s">
        <v>8</v>
      </c>
      <c r="K19" s="11" t="s">
        <v>7</v>
      </c>
    </row>
    <row r="20" spans="1:11" ht="45" customHeight="1" x14ac:dyDescent="0.3">
      <c r="A20" s="11" t="s">
        <v>78</v>
      </c>
      <c r="B20" s="11" t="s">
        <v>356</v>
      </c>
      <c r="C20" s="11" t="s">
        <v>357</v>
      </c>
      <c r="D20" s="11" t="s">
        <v>358</v>
      </c>
      <c r="E20" s="11" t="s">
        <v>359</v>
      </c>
      <c r="F20" s="11" t="s">
        <v>15</v>
      </c>
      <c r="G20" s="11" t="s">
        <v>360</v>
      </c>
      <c r="H20" s="11" t="s">
        <v>361</v>
      </c>
      <c r="I20" s="15" t="s">
        <v>360</v>
      </c>
      <c r="J20" s="16" t="s">
        <v>8</v>
      </c>
      <c r="K20" s="11" t="s">
        <v>11</v>
      </c>
    </row>
    <row r="21" spans="1:11" ht="45" customHeight="1" x14ac:dyDescent="0.3">
      <c r="A21" s="11" t="s">
        <v>85</v>
      </c>
      <c r="B21" s="11" t="s">
        <v>362</v>
      </c>
      <c r="C21" s="11" t="s">
        <v>363</v>
      </c>
      <c r="D21" s="11" t="s">
        <v>321</v>
      </c>
      <c r="E21" s="11" t="s">
        <v>364</v>
      </c>
      <c r="F21" s="11" t="s">
        <v>15</v>
      </c>
      <c r="G21" s="11" t="s">
        <v>365</v>
      </c>
      <c r="H21" s="11" t="s">
        <v>366</v>
      </c>
      <c r="I21" s="15" t="s">
        <v>365</v>
      </c>
      <c r="J21" s="16" t="s">
        <v>8</v>
      </c>
      <c r="K21" s="11" t="s">
        <v>14</v>
      </c>
    </row>
    <row r="22" spans="1:11" ht="45" customHeight="1" x14ac:dyDescent="0.3">
      <c r="A22" s="11" t="s">
        <v>93</v>
      </c>
      <c r="B22" s="11" t="s">
        <v>367</v>
      </c>
      <c r="C22" s="11" t="s">
        <v>368</v>
      </c>
      <c r="D22" s="11" t="s">
        <v>369</v>
      </c>
      <c r="E22" s="11" t="s">
        <v>370</v>
      </c>
      <c r="F22" s="11" t="s">
        <v>371</v>
      </c>
      <c r="G22" s="11" t="s">
        <v>372</v>
      </c>
      <c r="H22" s="11" t="s">
        <v>373</v>
      </c>
      <c r="I22" s="15" t="s">
        <v>372</v>
      </c>
      <c r="J22" s="16" t="s">
        <v>8</v>
      </c>
      <c r="K22" s="11" t="s">
        <v>17</v>
      </c>
    </row>
    <row r="23" spans="1:11" ht="45" customHeight="1" x14ac:dyDescent="0.3">
      <c r="A23" s="11" t="s">
        <v>100</v>
      </c>
      <c r="B23" s="11" t="s">
        <v>374</v>
      </c>
      <c r="C23" s="11" t="s">
        <v>375</v>
      </c>
      <c r="D23" s="11" t="s">
        <v>376</v>
      </c>
      <c r="E23" s="11" t="s">
        <v>377</v>
      </c>
      <c r="F23" s="11" t="s">
        <v>15</v>
      </c>
      <c r="G23" s="11" t="s">
        <v>378</v>
      </c>
      <c r="H23" s="11" t="s">
        <v>379</v>
      </c>
      <c r="I23" s="15" t="s">
        <v>378</v>
      </c>
      <c r="J23" s="16" t="s">
        <v>8</v>
      </c>
      <c r="K23" s="11" t="s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0"/>
  <sheetViews>
    <sheetView tabSelected="1" topLeftCell="A51" workbookViewId="0">
      <selection activeCell="C8" sqref="C7:C8"/>
    </sheetView>
  </sheetViews>
  <sheetFormatPr defaultRowHeight="14.4" x14ac:dyDescent="0.3"/>
  <cols>
    <col min="1" max="1" width="28" customWidth="1"/>
    <col min="2" max="2" width="31.6640625" customWidth="1"/>
    <col min="3" max="3" width="38" customWidth="1"/>
    <col min="4" max="4" width="28" customWidth="1"/>
    <col min="5" max="5" width="38" customWidth="1"/>
    <col min="6" max="6" width="28" customWidth="1"/>
    <col min="7" max="7" width="38" customWidth="1"/>
    <col min="8" max="8" width="28" customWidth="1"/>
    <col min="9" max="9" width="38" customWidth="1"/>
    <col min="10" max="10" width="10" customWidth="1"/>
    <col min="11" max="11" width="12" customWidth="1"/>
  </cols>
  <sheetData>
    <row r="1" spans="1:11" x14ac:dyDescent="0.3">
      <c r="A1" s="1" t="s">
        <v>0</v>
      </c>
      <c r="G1" s="2" t="s">
        <v>1</v>
      </c>
    </row>
    <row r="2" spans="1:11" x14ac:dyDescent="0.3">
      <c r="G2" s="3" t="s">
        <v>2</v>
      </c>
      <c r="H2" s="4" t="s">
        <v>3</v>
      </c>
      <c r="I2" s="3" t="s">
        <v>4</v>
      </c>
      <c r="J2" s="4" t="s">
        <v>3</v>
      </c>
    </row>
    <row r="3" spans="1:11" x14ac:dyDescent="0.3">
      <c r="A3" s="5" t="s">
        <v>5</v>
      </c>
      <c r="B3" s="6" t="s">
        <v>6</v>
      </c>
      <c r="G3" s="13" t="s">
        <v>7</v>
      </c>
      <c r="H3" s="14">
        <f>COUNTIF(K12:K20,"High")</f>
        <v>2</v>
      </c>
      <c r="I3" s="13" t="s">
        <v>8</v>
      </c>
      <c r="J3" s="14">
        <f>COUNTIF(J12:J20,"Pass")</f>
        <v>8</v>
      </c>
    </row>
    <row r="4" spans="1:11" x14ac:dyDescent="0.3">
      <c r="A4" s="5" t="s">
        <v>9</v>
      </c>
      <c r="B4" s="6" t="s">
        <v>380</v>
      </c>
      <c r="G4" s="13" t="s">
        <v>11</v>
      </c>
      <c r="H4" s="14">
        <f>COUNTIF(K12:K20,"Medium")</f>
        <v>2</v>
      </c>
      <c r="I4" s="13" t="s">
        <v>12</v>
      </c>
      <c r="J4" s="14">
        <f>COUNTIF(J12:J20,"Fail")</f>
        <v>0</v>
      </c>
    </row>
    <row r="5" spans="1:11" ht="28.8" x14ac:dyDescent="0.3">
      <c r="A5" s="5" t="s">
        <v>13</v>
      </c>
      <c r="B5" s="17" t="s">
        <v>428</v>
      </c>
      <c r="G5" s="13" t="s">
        <v>14</v>
      </c>
      <c r="H5" s="14">
        <f>COUNTIF(K12:K20,"Low")</f>
        <v>2</v>
      </c>
      <c r="I5" s="13" t="s">
        <v>15</v>
      </c>
      <c r="J5" s="14">
        <f>COUNTIF(J12:J20,"N/A")</f>
        <v>0</v>
      </c>
    </row>
    <row r="6" spans="1:11" x14ac:dyDescent="0.3">
      <c r="A6" s="5" t="s">
        <v>16</v>
      </c>
      <c r="B6" s="6" t="s">
        <v>426</v>
      </c>
      <c r="G6" s="13" t="s">
        <v>17</v>
      </c>
      <c r="H6" s="14">
        <f>COUNTIF(K12:K20,"Critical")</f>
        <v>2</v>
      </c>
      <c r="I6" s="13" t="s">
        <v>15</v>
      </c>
      <c r="J6" s="14">
        <f>COUNTIF(J12:J20,"N/A")</f>
        <v>0</v>
      </c>
    </row>
    <row r="7" spans="1:11" x14ac:dyDescent="0.3">
      <c r="A7" s="5" t="s">
        <v>18</v>
      </c>
      <c r="B7" s="12">
        <v>46115</v>
      </c>
    </row>
    <row r="8" spans="1:11" x14ac:dyDescent="0.3">
      <c r="A8" s="5" t="s">
        <v>19</v>
      </c>
      <c r="B8" s="12">
        <v>46142</v>
      </c>
    </row>
    <row r="9" spans="1:11" x14ac:dyDescent="0.3">
      <c r="A9" s="7" t="s">
        <v>20</v>
      </c>
      <c r="B9" s="8" t="s">
        <v>21</v>
      </c>
    </row>
    <row r="10" spans="1:11" ht="22.05" customHeight="1" x14ac:dyDescent="0.3">
      <c r="A10" s="9" t="s">
        <v>22</v>
      </c>
      <c r="B10" s="9" t="s">
        <v>23</v>
      </c>
      <c r="C10" s="9" t="s">
        <v>0</v>
      </c>
      <c r="D10" s="9" t="s">
        <v>24</v>
      </c>
      <c r="E10" s="9" t="s">
        <v>25</v>
      </c>
      <c r="F10" s="9" t="s">
        <v>26</v>
      </c>
      <c r="G10" s="9" t="s">
        <v>27</v>
      </c>
      <c r="H10" s="9" t="s">
        <v>28</v>
      </c>
      <c r="I10" s="9" t="s">
        <v>29</v>
      </c>
      <c r="J10" s="9" t="s">
        <v>4</v>
      </c>
      <c r="K10" s="9" t="s">
        <v>30</v>
      </c>
    </row>
    <row r="11" spans="1:11" ht="18" customHeight="1" x14ac:dyDescent="0.3">
      <c r="A11" s="10" t="s">
        <v>31</v>
      </c>
    </row>
    <row r="12" spans="1:11" ht="45" customHeight="1" x14ac:dyDescent="0.3">
      <c r="A12" s="11" t="s">
        <v>32</v>
      </c>
      <c r="B12" s="11" t="s">
        <v>381</v>
      </c>
      <c r="C12" s="11" t="s">
        <v>382</v>
      </c>
      <c r="D12" s="11" t="s">
        <v>46</v>
      </c>
      <c r="E12" s="11" t="s">
        <v>383</v>
      </c>
      <c r="F12" s="11" t="s">
        <v>15</v>
      </c>
      <c r="G12" s="11" t="s">
        <v>384</v>
      </c>
      <c r="H12" s="11" t="s">
        <v>385</v>
      </c>
      <c r="I12" s="15" t="s">
        <v>384</v>
      </c>
      <c r="J12" s="16" t="s">
        <v>8</v>
      </c>
      <c r="K12" s="11" t="s">
        <v>7</v>
      </c>
    </row>
    <row r="13" spans="1:11" ht="45" customHeight="1" x14ac:dyDescent="0.3">
      <c r="A13" s="11" t="s">
        <v>39</v>
      </c>
      <c r="B13" s="11" t="s">
        <v>386</v>
      </c>
      <c r="C13" s="11" t="s">
        <v>387</v>
      </c>
      <c r="D13" s="11" t="s">
        <v>388</v>
      </c>
      <c r="E13" s="11" t="s">
        <v>389</v>
      </c>
      <c r="F13" s="11" t="s">
        <v>390</v>
      </c>
      <c r="G13" s="11" t="s">
        <v>391</v>
      </c>
      <c r="H13" s="11" t="s">
        <v>392</v>
      </c>
      <c r="I13" s="15" t="s">
        <v>391</v>
      </c>
      <c r="J13" s="16" t="s">
        <v>8</v>
      </c>
      <c r="K13" s="11" t="s">
        <v>11</v>
      </c>
    </row>
    <row r="14" spans="1:11" ht="45" customHeight="1" x14ac:dyDescent="0.3">
      <c r="A14" s="11" t="s">
        <v>47</v>
      </c>
      <c r="B14" s="11" t="s">
        <v>393</v>
      </c>
      <c r="C14" s="11" t="s">
        <v>394</v>
      </c>
      <c r="D14" s="11" t="s">
        <v>388</v>
      </c>
      <c r="E14" s="11" t="s">
        <v>395</v>
      </c>
      <c r="F14" s="11" t="s">
        <v>396</v>
      </c>
      <c r="G14" s="11" t="s">
        <v>397</v>
      </c>
      <c r="H14" s="11" t="s">
        <v>398</v>
      </c>
      <c r="I14" s="15" t="s">
        <v>397</v>
      </c>
      <c r="J14" s="16" t="s">
        <v>8</v>
      </c>
      <c r="K14" s="11" t="s">
        <v>14</v>
      </c>
    </row>
    <row r="15" spans="1:11" ht="45" customHeight="1" x14ac:dyDescent="0.3">
      <c r="A15" s="11" t="s">
        <v>54</v>
      </c>
      <c r="B15" s="11" t="s">
        <v>399</v>
      </c>
      <c r="C15" s="11" t="s">
        <v>400</v>
      </c>
      <c r="D15" s="11" t="s">
        <v>401</v>
      </c>
      <c r="E15" s="11" t="s">
        <v>402</v>
      </c>
      <c r="F15" s="11" t="s">
        <v>15</v>
      </c>
      <c r="G15" s="11" t="s">
        <v>403</v>
      </c>
      <c r="H15" s="11" t="s">
        <v>404</v>
      </c>
      <c r="I15" s="15" t="s">
        <v>403</v>
      </c>
      <c r="J15" s="16" t="s">
        <v>8</v>
      </c>
      <c r="K15" s="11" t="s">
        <v>17</v>
      </c>
    </row>
    <row r="16" spans="1:11" ht="18" customHeight="1" x14ac:dyDescent="0.3">
      <c r="A16" s="10" t="s">
        <v>77</v>
      </c>
    </row>
    <row r="17" spans="1:11" ht="45" customHeight="1" x14ac:dyDescent="0.3">
      <c r="A17" s="11" t="s">
        <v>60</v>
      </c>
      <c r="B17" s="11" t="s">
        <v>405</v>
      </c>
      <c r="C17" s="11" t="s">
        <v>406</v>
      </c>
      <c r="D17" s="11" t="s">
        <v>46</v>
      </c>
      <c r="E17" s="11" t="s">
        <v>407</v>
      </c>
      <c r="F17" s="11" t="s">
        <v>15</v>
      </c>
      <c r="G17" s="11" t="s">
        <v>408</v>
      </c>
      <c r="H17" s="11" t="s">
        <v>409</v>
      </c>
      <c r="I17" s="15" t="s">
        <v>408</v>
      </c>
      <c r="J17" s="16" t="s">
        <v>8</v>
      </c>
      <c r="K17" s="11" t="s">
        <v>7</v>
      </c>
    </row>
    <row r="18" spans="1:11" ht="45" customHeight="1" x14ac:dyDescent="0.3">
      <c r="A18" s="11" t="s">
        <v>66</v>
      </c>
      <c r="B18" s="11" t="s">
        <v>410</v>
      </c>
      <c r="C18" s="11" t="s">
        <v>411</v>
      </c>
      <c r="D18" s="11" t="s">
        <v>412</v>
      </c>
      <c r="E18" s="11" t="s">
        <v>413</v>
      </c>
      <c r="F18" s="11" t="s">
        <v>15</v>
      </c>
      <c r="G18" s="11" t="s">
        <v>414</v>
      </c>
      <c r="H18" s="11" t="s">
        <v>415</v>
      </c>
      <c r="I18" s="15" t="s">
        <v>414</v>
      </c>
      <c r="J18" s="16" t="s">
        <v>8</v>
      </c>
      <c r="K18" s="11" t="s">
        <v>11</v>
      </c>
    </row>
    <row r="19" spans="1:11" ht="45" customHeight="1" x14ac:dyDescent="0.3">
      <c r="A19" s="11" t="s">
        <v>72</v>
      </c>
      <c r="B19" s="11" t="s">
        <v>416</v>
      </c>
      <c r="C19" s="11" t="s">
        <v>417</v>
      </c>
      <c r="D19" s="11" t="s">
        <v>388</v>
      </c>
      <c r="E19" s="11" t="s">
        <v>418</v>
      </c>
      <c r="F19" s="11" t="s">
        <v>15</v>
      </c>
      <c r="G19" s="11" t="s">
        <v>419</v>
      </c>
      <c r="H19" s="11" t="s">
        <v>420</v>
      </c>
      <c r="I19" s="15" t="s">
        <v>419</v>
      </c>
      <c r="J19" s="16" t="s">
        <v>8</v>
      </c>
      <c r="K19" s="11" t="s">
        <v>14</v>
      </c>
    </row>
    <row r="20" spans="1:11" ht="45" customHeight="1" x14ac:dyDescent="0.3">
      <c r="A20" s="11" t="s">
        <v>78</v>
      </c>
      <c r="B20" s="11" t="s">
        <v>421</v>
      </c>
      <c r="C20" s="11" t="s">
        <v>422</v>
      </c>
      <c r="D20" s="11" t="s">
        <v>388</v>
      </c>
      <c r="E20" s="11" t="s">
        <v>423</v>
      </c>
      <c r="F20" s="11" t="s">
        <v>424</v>
      </c>
      <c r="G20" s="11" t="s">
        <v>425</v>
      </c>
      <c r="H20" s="11" t="s">
        <v>379</v>
      </c>
      <c r="I20" s="15" t="s">
        <v>425</v>
      </c>
      <c r="J20" s="16" t="s">
        <v>8</v>
      </c>
      <c r="K20" s="1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Login Module</vt:lpstr>
      <vt:lpstr>Movie Browsing Module</vt:lpstr>
      <vt:lpstr>Seat Selection Module</vt:lpstr>
      <vt:lpstr>Booking Module</vt:lpstr>
      <vt:lpstr>Admin Module</vt:lpstr>
      <vt:lpstr>User Profile Module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WWSN Wickramarachchi</cp:lastModifiedBy>
  <dcterms:created xsi:type="dcterms:W3CDTF">2026-04-02T18:45:27Z</dcterms:created>
  <dcterms:modified xsi:type="dcterms:W3CDTF">2026-04-03T13:10:08Z</dcterms:modified>
</cp:coreProperties>
</file>